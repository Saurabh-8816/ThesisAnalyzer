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tabRatio="780" activeTab="8"/>
  </bookViews>
  <sheets>
    <sheet name="Upper_Mahanadi_Main_Sub_Ba" sheetId="45" r:id="rId1"/>
    <sheet name="Middle_Mahanadi_Main_Sub_Basin" sheetId="25" r:id="rId2"/>
    <sheet name="Seonath_Sub_Basin" sheetId="41" r:id="rId3"/>
    <sheet name="Hasdeo_Sub_Basin" sheetId="1" r:id="rId4"/>
    <sheet name="Mand_Sub_Basin" sheetId="21" r:id="rId5"/>
    <sheet name="IB_Sub_Basin" sheetId="5" r:id="rId6"/>
    <sheet name="Choti_Kelo_Sub_Basin" sheetId="13" r:id="rId7"/>
    <sheet name="Main_Kelo_Sub_Basin" sheetId="17" r:id="rId8"/>
    <sheet name="Pairi_Sub_Basin" sheetId="33" r:id="rId9"/>
    <sheet name="Jonk-Rural" sheetId="9" r:id="rId10"/>
    <sheet name="Ong_Sub_Basin" sheetId="29" r:id="rId11"/>
    <sheet name="Tel_Sub_Basin" sheetId="37" r:id="rId12"/>
  </sheets>
  <definedNames>
    <definedName name="_xlnm._FilterDatabase" localSheetId="6" hidden="1">Choti_Kelo_Sub_Basin!$B$15:$I$15</definedName>
    <definedName name="_xlnm._FilterDatabase" localSheetId="3" hidden="1">Hasdeo_Sub_Basin!$B$55:$I$55</definedName>
    <definedName name="_xlnm._FilterDatabase" localSheetId="5" hidden="1">IB_Sub_Basin!$B$33:$H$33</definedName>
    <definedName name="_xlnm._FilterDatabase" localSheetId="9" hidden="1">'Jonk-Rural'!$B$25:$I$25</definedName>
    <definedName name="_xlnm._FilterDatabase" localSheetId="4" hidden="1">Mand_Sub_Basin!$C$49:$I$49</definedName>
    <definedName name="_xlnm.Print_Area" localSheetId="6">Choti_Kelo_Sub_Basin!$A$1:$I$90</definedName>
    <definedName name="_xlnm.Print_Area" localSheetId="3">Hasdeo_Sub_Basin!$A$1:$I$324</definedName>
    <definedName name="_xlnm.Print_Area" localSheetId="5">IB_Sub_Basin!$A$1:$I$174</definedName>
    <definedName name="_xlnm.Print_Area" localSheetId="9">'Jonk-Rural'!$A$1:$I$142</definedName>
    <definedName name="_xlnm.Print_Area" localSheetId="7">Main_Kelo_Sub_Basin!$A$1:$I$111</definedName>
    <definedName name="_xlnm.Print_Area" localSheetId="4">Mand_Sub_Basin!$A$1:$I$233</definedName>
    <definedName name="_xlnm.Print_Area" localSheetId="8">Pairi_Sub_Basin!$A$1:$I$117</definedName>
    <definedName name="_xlnm.Print_Area" localSheetId="2">Seonath_Sub_Basin!$A$1:$I$803</definedName>
    <definedName name="_xlnm.Print_Area" localSheetId="0">Upper_Mahanadi_Main_Sub_Ba!$A$1:$I$548</definedName>
    <definedName name="_xlnm.Print_Titles" localSheetId="6">Choti_Kelo_Sub_Basin!$6:$9</definedName>
    <definedName name="_xlnm.Print_Titles" localSheetId="3">Hasdeo_Sub_Basin!$6:$9</definedName>
    <definedName name="_xlnm.Print_Titles" localSheetId="5">IB_Sub_Basin!$6:$9</definedName>
    <definedName name="_xlnm.Print_Titles" localSheetId="9">'Jonk-Rural'!$6:$9</definedName>
    <definedName name="_xlnm.Print_Titles" localSheetId="7">Main_Kelo_Sub_Basin!$6:$9</definedName>
    <definedName name="_xlnm.Print_Titles" localSheetId="4">Mand_Sub_Basin!$6:$9</definedName>
    <definedName name="_xlnm.Print_Titles" localSheetId="1">Middle_Mahanadi_Main_Sub_Basin!$6:$9</definedName>
    <definedName name="_xlnm.Print_Titles" localSheetId="10">Ong_Sub_Basin!$6:$9</definedName>
    <definedName name="_xlnm.Print_Titles" localSheetId="8">Pairi_Sub_Basin!$6:$9</definedName>
    <definedName name="_xlnm.Print_Titles" localSheetId="2">Seonath_Sub_Basin!$7:$10</definedName>
    <definedName name="_xlnm.Print_Titles" localSheetId="11">Tel_Sub_Basin!$7:$10</definedName>
    <definedName name="_xlnm.Print_Titles" localSheetId="0">Upper_Mahanadi_Main_Sub_Ba!$6:$9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<sst xmlns="http://schemas.openxmlformats.org/spreadsheetml/2006/main" count="5112" uniqueCount="335">
  <si>
    <t>(Appendix-28)</t>
  </si>
  <si>
    <t>17.08.2023</t>
  </si>
  <si>
    <t>POPULATION/DEMOGRAPHIC DATA/EXISTING AND PROPOSED USES OF WATER FOR DOMESTIC REQUIREMENT</t>
  </si>
  <si>
    <t>NAME OF THE SUB_BASIN - Upper Mahanadi Main</t>
  </si>
  <si>
    <t>NAME OF THE STATE          - Chhattisgarh</t>
  </si>
  <si>
    <t>NAME OF THE DISTRICT     - Bilaspur, Raipur, Durg, Bastar,  Kanker, kondagaon,  Dhamtari,  Balodabazar, Jangir-champa, Balod,  Gariyaband,  Raigarh,  Korba, Mahasmund</t>
  </si>
  <si>
    <t>1. EXISTING DEMAND</t>
  </si>
  <si>
    <t>A. Water supply scheme to rural areas</t>
  </si>
  <si>
    <t>Water Demand for Domestic use in MCM</t>
  </si>
  <si>
    <t>SI.No.</t>
  </si>
  <si>
    <t>Decade Ending</t>
  </si>
  <si>
    <t>District</t>
  </si>
  <si>
    <t>Block</t>
  </si>
  <si>
    <t xml:space="preserve">Human Population </t>
  </si>
  <si>
    <t xml:space="preserve">Total Live Stock Population </t>
  </si>
  <si>
    <t>Human Population Demand</t>
  </si>
  <si>
    <t>Live Stock Demand</t>
  </si>
  <si>
    <t>Total Demand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</si>
  <si>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</si>
  <si>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</si>
  <si>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</si>
  <si>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</si>
  <si>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</si>
  <si>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</si>
  <si>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</si>
  <si>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</si>
  <si>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</si>
  <si>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Raipur</t>
  </si>
  <si>
    <t>Tilda</t>
  </si>
  <si>
    <t>N Av</t>
  </si>
  <si>
    <t>Arang</t>
  </si>
  <si>
    <t>Abhanpur</t>
  </si>
  <si>
    <t>Palari</t>
  </si>
  <si>
    <t>Balodabazar</t>
  </si>
  <si>
    <t>Kasdol</t>
  </si>
  <si>
    <t>Bilaigarh</t>
  </si>
  <si>
    <t>Magarlod</t>
  </si>
  <si>
    <t>Dhamtari</t>
  </si>
  <si>
    <t>Nagri</t>
  </si>
  <si>
    <t>Kurud</t>
  </si>
  <si>
    <t>Rajim</t>
  </si>
  <si>
    <t>Chhura</t>
  </si>
  <si>
    <t>Gariyaband</t>
  </si>
  <si>
    <t>Pithora</t>
  </si>
  <si>
    <t>Saraipali</t>
  </si>
  <si>
    <t>Mahasamund</t>
  </si>
  <si>
    <t>Bagbahara</t>
  </si>
  <si>
    <t>Basna</t>
  </si>
  <si>
    <t>Bilaspur</t>
  </si>
  <si>
    <t>Bamhnidih</t>
  </si>
  <si>
    <t>Nawagarh</t>
  </si>
  <si>
    <t>Malkharoda</t>
  </si>
  <si>
    <t>Pamgarh</t>
  </si>
  <si>
    <t>Jaijaipur</t>
  </si>
  <si>
    <t>Dabhra</t>
  </si>
  <si>
    <t>Balouda</t>
  </si>
  <si>
    <t>Shakti</t>
  </si>
  <si>
    <t>Akaltara</t>
  </si>
  <si>
    <t>Korba</t>
  </si>
  <si>
    <t>Kartala</t>
  </si>
  <si>
    <t>Raigarh</t>
  </si>
  <si>
    <t>Kharsia</t>
  </si>
  <si>
    <t>Pussore</t>
  </si>
  <si>
    <t>Sarangarh</t>
  </si>
  <si>
    <t>Baramkela</t>
  </si>
  <si>
    <t>Durg</t>
  </si>
  <si>
    <t>Gurur</t>
  </si>
  <si>
    <t>Doundi</t>
  </si>
  <si>
    <t>Bastar</t>
  </si>
  <si>
    <t>Narharpur</t>
  </si>
  <si>
    <t>Bhanupratappur</t>
  </si>
  <si>
    <t>Kanker</t>
  </si>
  <si>
    <t>Antagarh</t>
  </si>
  <si>
    <t>Charama</t>
  </si>
  <si>
    <t>Baderajpur</t>
  </si>
  <si>
    <t>Keshkal</t>
  </si>
  <si>
    <t>Janjgir - Champa</t>
  </si>
  <si>
    <t>Baloda</t>
  </si>
  <si>
    <t>Balod</t>
  </si>
  <si>
    <t>Baloda Bazar</t>
  </si>
  <si>
    <t>Kondagaon</t>
  </si>
  <si>
    <t xml:space="preserve"> B. Water supply scheme to Urban Centres</t>
  </si>
  <si>
    <t>S.no.</t>
  </si>
  <si>
    <t>Urban area (Municipal corporations/Municipalities/ N.A.C. etc</t>
  </si>
  <si>
    <t>Total Live Stock Population</t>
  </si>
  <si>
    <t>Gobra Nawapara</t>
  </si>
  <si>
    <t>Sakti</t>
  </si>
  <si>
    <t>Naya  Baradwar</t>
  </si>
  <si>
    <t>Dalli Rajhara</t>
  </si>
  <si>
    <t>Kharod</t>
  </si>
  <si>
    <t>Shivrinarayan</t>
  </si>
  <si>
    <t>Aamdi</t>
  </si>
  <si>
    <t>Bhakhara</t>
  </si>
  <si>
    <t>Magarload</t>
  </si>
  <si>
    <t>Chikhalkasa</t>
  </si>
  <si>
    <t>Janjgir-Champa</t>
  </si>
  <si>
    <t>Rahod</t>
  </si>
  <si>
    <t xml:space="preserve">Antagarh </t>
  </si>
  <si>
    <t>Saria</t>
  </si>
  <si>
    <t>Chandrakhuri</t>
  </si>
  <si>
    <t>Mandir Hasoud</t>
  </si>
  <si>
    <t>Samoda</t>
  </si>
  <si>
    <t xml:space="preserve">2. FUTURE DEMAND
</t>
  </si>
  <si>
    <t>S.No.</t>
  </si>
  <si>
    <t>Projected Year</t>
  </si>
  <si>
    <t>B. Water supply scheme to Urban Centres</t>
  </si>
  <si>
    <t>Urban area (Municipal corporations/Municipalities/N.A.C. etc</t>
  </si>
  <si>
    <t>N Av.</t>
  </si>
  <si>
    <t xml:space="preserve">Note- </t>
  </si>
  <si>
    <t>1. Per capita demand for domestic population including firefighting demand and losses has been taken as 65.19 LPCD for rural areas and 162 LPCD for urban areas.</t>
  </si>
  <si>
    <t>2. As far as livestock population and demand are concerned, wherever ‘N Av’ is mentioned, it should be treated as ‘not available’ and not as ‘zero’.</t>
  </si>
  <si>
    <t>Remarks for Column F &amp; H</t>
  </si>
  <si>
    <t xml:space="preserve">*2001 Data :- </t>
  </si>
  <si>
    <t>Growth Rate = (2003 LSC Data - 1997 LSC Data) / 1997 LSC Data/6</t>
  </si>
  <si>
    <t>2001 Data = 1997 LSC Data + (1997 LSC Data*Growth Rate*4)</t>
  </si>
  <si>
    <t xml:space="preserve">*2011 Data :- </t>
  </si>
  <si>
    <t>Growth Rate = (2012 LSC Data - 2007 LSC Data) / 2007 LSC Data/5</t>
  </si>
  <si>
    <t>2011 Data = 2007 LSC Data + (2007 LSC Data*Growth Rate*4)</t>
  </si>
  <si>
    <t>*2021 Data and Future Projection</t>
  </si>
  <si>
    <t>Growth Rate = (2019 LSC Data - 2012 LSC Data) / 2012 LSC Data/7</t>
  </si>
  <si>
    <t>2021 Data = 2012 LSC Data + (2012 LSC Data*Growth Rate*9)</t>
  </si>
  <si>
    <t>2025 Data = 2012 LSC Data + (2012 LSC Data*Growth Rate*13)</t>
  </si>
  <si>
    <t>2050 Data = 2012 LSC Data + (2012 LSC Data*Growth Rate*38)</t>
  </si>
  <si>
    <t>*Abbreviation of LSC :- Livestock Census</t>
  </si>
  <si>
    <t>*For any livestock species with 0 population in previous year, following formula was used :-</t>
  </si>
  <si>
    <t>Eg :- An urban ward in 2007 has 0 horse while in 2012 the block has 6 horses</t>
  </si>
  <si>
    <t>2008 horse population = 2012 horse poptn. / 5</t>
  </si>
  <si>
    <t>2009 horse poptn. = 2012 horse poptn. + 1 * 2012 horse poptn.</t>
  </si>
  <si>
    <t>2010 horse poptn. = 2012 horse poptn. + 2 * 2012 horse poptn.</t>
  </si>
  <si>
    <t>2011 horse poptn. = 2012 horse poptn. + 3 * 2012 horse poptn.</t>
  </si>
  <si>
    <t>*1 MCM = 10^9 litres</t>
  </si>
  <si>
    <t xml:space="preserve">*As per the Handbook of Animal Husbandry by ICAR fourth revised edition (November 2015) </t>
  </si>
  <si>
    <t xml:space="preserve">  specieswise per day Water Requirement for all purposes (drinking, washing  and cleaning) is given below -</t>
  </si>
  <si>
    <t xml:space="preserve">  Cattle and Buffalo - 100-110 litres, Sheep and Goat - 18 litres, Pig - 50 litres, Horse and Others - 72 litres,  Poultry - 250 ml</t>
  </si>
  <si>
    <t>Wherever the livestock figures show a significant declining trend, the figures forecast in 2050 have been kept same as those of 2025</t>
  </si>
  <si>
    <t>NAME OF THE SUB_BASIN -  Middle Mahanadi Main</t>
  </si>
  <si>
    <t>NAME OF THE STATE          -  Chhattisgarh</t>
  </si>
  <si>
    <t>NAME OF THE DISTRICT    -   Raigarh, Raipur,  Mahasamund</t>
  </si>
  <si>
    <t xml:space="preserve">1. EXISTING DEMAND </t>
  </si>
  <si>
    <t>Saraypali</t>
  </si>
  <si>
    <t>Mahasmund</t>
  </si>
  <si>
    <t xml:space="preserve">Raigarh </t>
  </si>
  <si>
    <t xml:space="preserve">
None</t>
  </si>
  <si>
    <t>None</t>
  </si>
  <si>
    <t>NAME OF THE SUB_BASIN - Seonath</t>
  </si>
  <si>
    <t xml:space="preserve">NAME OF THE DISTRICT     - Raipur, Dhamari, Bilaspur, Bemetara,  Kabirdham,  Balodabazar,  Kanker, Janjgir champa,  Korba,  </t>
  </si>
  <si>
    <t>Mungeli, Rajnandgaon, Durg, Bastar, Gaurella-pendra-Marwahi, Balod</t>
  </si>
  <si>
    <t>Masturi</t>
  </si>
  <si>
    <t>Takhatpur</t>
  </si>
  <si>
    <t>Kota</t>
  </si>
  <si>
    <t>Belha</t>
  </si>
  <si>
    <t>Gaurella</t>
  </si>
  <si>
    <t xml:space="preserve">Pendra </t>
  </si>
  <si>
    <t>Mungeli</t>
  </si>
  <si>
    <t>Patharia</t>
  </si>
  <si>
    <t>Lormi</t>
  </si>
  <si>
    <t>Katghora</t>
  </si>
  <si>
    <t>Pali</t>
  </si>
  <si>
    <t>Pandariya</t>
  </si>
  <si>
    <t>Dharsiwa</t>
  </si>
  <si>
    <t>Simga</t>
  </si>
  <si>
    <t>Bhatapara</t>
  </si>
  <si>
    <t>Rajnandgaon</t>
  </si>
  <si>
    <t>Kawardha</t>
  </si>
  <si>
    <t>Bodla</t>
  </si>
  <si>
    <t>Sahaspur Lohara</t>
  </si>
  <si>
    <t>Khairagarh</t>
  </si>
  <si>
    <t>Dongargarh</t>
  </si>
  <si>
    <t>Manpur</t>
  </si>
  <si>
    <t>Chhuriya</t>
  </si>
  <si>
    <t>Dongargaon</t>
  </si>
  <si>
    <t>Ambagarh Chowki</t>
  </si>
  <si>
    <t>Mohala</t>
  </si>
  <si>
    <t>Chhuikhadan</t>
  </si>
  <si>
    <t>Bemetara</t>
  </si>
  <si>
    <t>Saja</t>
  </si>
  <si>
    <t>Berla</t>
  </si>
  <si>
    <t>Navagarh</t>
  </si>
  <si>
    <t>Gundardehi</t>
  </si>
  <si>
    <t>Dondi Lohara</t>
  </si>
  <si>
    <t xml:space="preserve">Dondi </t>
  </si>
  <si>
    <t>Dhamdha</t>
  </si>
  <si>
    <t>Patan</t>
  </si>
  <si>
    <t>Durgkondal</t>
  </si>
  <si>
    <t>Kabirdham</t>
  </si>
  <si>
    <t>Gaurella-pendra-Marwahi</t>
  </si>
  <si>
    <t>Ratanpur</t>
  </si>
  <si>
    <t>Lawan</t>
  </si>
  <si>
    <t>Rajanandgaon</t>
  </si>
  <si>
    <t>Bhilai</t>
  </si>
  <si>
    <t>Bhilai Charouda</t>
  </si>
  <si>
    <t>Jamul</t>
  </si>
  <si>
    <t>Kumahri</t>
  </si>
  <si>
    <t>Ahirwara</t>
  </si>
  <si>
    <t>Bodri</t>
  </si>
  <si>
    <t xml:space="preserve">Bilha </t>
  </si>
  <si>
    <t>Ambagarh  chowki</t>
  </si>
  <si>
    <t>Gandai</t>
  </si>
  <si>
    <t>Khamariya</t>
  </si>
  <si>
    <t>Malhar</t>
  </si>
  <si>
    <t>Sargaon</t>
  </si>
  <si>
    <t>Arjunda</t>
  </si>
  <si>
    <t>Devkar</t>
  </si>
  <si>
    <t>Dondi</t>
  </si>
  <si>
    <t>Dondi-Lohara</t>
  </si>
  <si>
    <t>Maaro</t>
  </si>
  <si>
    <t>Parpoudi</t>
  </si>
  <si>
    <t>Uttai</t>
  </si>
  <si>
    <t>Pandatarai</t>
  </si>
  <si>
    <t>Pipariya</t>
  </si>
  <si>
    <t>Birgaon</t>
  </si>
  <si>
    <t>Kharora</t>
  </si>
  <si>
    <t>Kura</t>
  </si>
  <si>
    <t>Mana-camp</t>
  </si>
  <si>
    <t>Rishali</t>
  </si>
  <si>
    <t xml:space="preserve">Balod </t>
  </si>
  <si>
    <t xml:space="preserve">Dondilohara </t>
  </si>
  <si>
    <t>BalodaBazar</t>
  </si>
  <si>
    <t>Bhiali</t>
  </si>
  <si>
    <t xml:space="preserve">Arjunda </t>
  </si>
  <si>
    <t xml:space="preserve">Gundardehi </t>
  </si>
  <si>
    <t xml:space="preserve">Berla </t>
  </si>
  <si>
    <t xml:space="preserve">Khamhariya </t>
  </si>
  <si>
    <t xml:space="preserve">Bhilai Charouda </t>
  </si>
  <si>
    <t xml:space="preserve">Dhamdha </t>
  </si>
  <si>
    <t xml:space="preserve">Durg </t>
  </si>
  <si>
    <t xml:space="preserve">Kumhari </t>
  </si>
  <si>
    <t>Gourella-Pendra-Marwahi</t>
  </si>
  <si>
    <t xml:space="preserve">Sahaspur lohara </t>
  </si>
  <si>
    <t>Mana Camp</t>
  </si>
  <si>
    <t xml:space="preserve">Ambagarh Chowki </t>
  </si>
  <si>
    <t xml:space="preserve">Chhuikhadan </t>
  </si>
  <si>
    <t xml:space="preserve">Chhuriya </t>
  </si>
  <si>
    <t xml:space="preserve">Dongargaon </t>
  </si>
  <si>
    <t xml:space="preserve">Dongargarh </t>
  </si>
  <si>
    <t xml:space="preserve">Khairagarh </t>
  </si>
  <si>
    <t>Rajnandagaon</t>
  </si>
  <si>
    <t>*In the Table B.Water supply scheme to Urban Centres of Existing Demand - Rishali has 0 livestock data because it was established in 2019 hence no data was recorded</t>
  </si>
  <si>
    <t>Appendix-28</t>
  </si>
  <si>
    <t xml:space="preserve">POPULATION/DEMOGRAPHIC DATA/EXISTING AND PROPOSED USES OF WATER FOR DOMESTIC REQUIREMENT </t>
  </si>
  <si>
    <t>NAME OF THE SUB_BASIN - Hasdeo</t>
  </si>
  <si>
    <t>NAME OF THE DISTRICT     -Bilaspur,  Sarguja, Janjgir Champa, Surajpur, Korba,  Koriya, Gourella-Pendra-Marwahi, BalodaBazar</t>
  </si>
  <si>
    <t>Marwahi</t>
  </si>
  <si>
    <t>Bamhanidih</t>
  </si>
  <si>
    <t>Poudi uproda</t>
  </si>
  <si>
    <t>Sarguja</t>
  </si>
  <si>
    <t>Manendragarh</t>
  </si>
  <si>
    <t>Sonhat</t>
  </si>
  <si>
    <t>Baikunthpur</t>
  </si>
  <si>
    <t>Khadgawan</t>
  </si>
  <si>
    <t>Surajpur</t>
  </si>
  <si>
    <t>Prem Nagar</t>
  </si>
  <si>
    <t>Odgi</t>
  </si>
  <si>
    <t>Ramanujnagar</t>
  </si>
  <si>
    <t>Udaypur</t>
  </si>
  <si>
    <t>Lakhanpur</t>
  </si>
  <si>
    <t>Koriya</t>
  </si>
  <si>
    <t>Champa</t>
  </si>
  <si>
    <t>Janjgir</t>
  </si>
  <si>
    <t xml:space="preserve">Korba </t>
  </si>
  <si>
    <t>Surguja</t>
  </si>
  <si>
    <t>Chirmiri</t>
  </si>
  <si>
    <t>Jhagdakhand</t>
  </si>
  <si>
    <t>Shivpur Charcha</t>
  </si>
  <si>
    <t>Saragaon</t>
  </si>
  <si>
    <t>Chhurikala</t>
  </si>
  <si>
    <t xml:space="preserve">Deepka  </t>
  </si>
  <si>
    <t>Khongapani</t>
  </si>
  <si>
    <t xml:space="preserve">NaiLedri  </t>
  </si>
  <si>
    <t>Bishrampur</t>
  </si>
  <si>
    <t>Vishrampur</t>
  </si>
  <si>
    <t>*In the Table B.Water supply scheme to Urban Centres of Existing Demand - Saragaon, Nai Ladri, Khongapani, Bishrampur and Premnagar have 0 livestock data because they were not established urban bodies in 2001 hence no data was recorded</t>
  </si>
  <si>
    <t>NAME OF THE SUB_BASIN - Mand</t>
  </si>
  <si>
    <t>NAME OF THE DISTRICT     - Bilaspur,  Sarguja, Janjgir Champa,  Korba, Raigarh, Jashpur</t>
  </si>
  <si>
    <t>Lailunga</t>
  </si>
  <si>
    <t>Gharghoda</t>
  </si>
  <si>
    <t>Tamnar</t>
  </si>
  <si>
    <t>Dharamjaigarh</t>
  </si>
  <si>
    <t>Pathalgaon</t>
  </si>
  <si>
    <t>Bagicha</t>
  </si>
  <si>
    <t>Batauli</t>
  </si>
  <si>
    <t>Mainpat</t>
  </si>
  <si>
    <t>Sitapur</t>
  </si>
  <si>
    <t>Lundra</t>
  </si>
  <si>
    <t>Ambikapur</t>
  </si>
  <si>
    <t>Jashpur</t>
  </si>
  <si>
    <t>Adbhar</t>
  </si>
  <si>
    <t>Chandrapur</t>
  </si>
  <si>
    <t>*In the Table B.Water supply scheme to Urban Centres of Existing Demand - Chandrapur  has have 0 livestock data in 2001 because it was established urban bodies in 2008 hence no data was recorded</t>
  </si>
  <si>
    <t>*In the Table B.Water supply scheme to Urban Centres of Existing Demand - Sitapur  has have 0 livestock data in 2001 because it was established urban bodies in 2003 hence no data was recorded</t>
  </si>
  <si>
    <t>NAME OF THE SUB_BASIN - IB</t>
  </si>
  <si>
    <t xml:space="preserve">NAME OF THE DISTRICT     -  Surguja, Jashpur,  Raigarh </t>
  </si>
  <si>
    <t>Manora</t>
  </si>
  <si>
    <t xml:space="preserve">Kasabel  </t>
  </si>
  <si>
    <t>Kunkuri</t>
  </si>
  <si>
    <t>Patthalgaon</t>
  </si>
  <si>
    <t>Parsabahar</t>
  </si>
  <si>
    <t xml:space="preserve">Bagicha  </t>
  </si>
  <si>
    <t>Duldula</t>
  </si>
  <si>
    <t xml:space="preserve">Tamnar  </t>
  </si>
  <si>
    <t>Kotba</t>
  </si>
  <si>
    <t>*In the Table B.Water supply scheme to Urban Centres of Existing Demand - For year 2001 Bagicha, Lailunga and Kotba have 0 livestock data because they were not established urban bodies in 2001 hence no data was recorded</t>
  </si>
  <si>
    <r>
      <rPr>
        <b/>
        <sz val="12"/>
        <color rgb="FF000000"/>
        <rFont val="Times New Roman"/>
        <charset val="134"/>
      </rPr>
      <t xml:space="preserve">NAME OF THE SUB_BASIN - Choti  </t>
    </r>
    <r>
      <rPr>
        <b/>
        <sz val="14"/>
        <color rgb="FF000000"/>
        <rFont val="Times New Roman"/>
        <charset val="134"/>
      </rPr>
      <t xml:space="preserve">Kelo </t>
    </r>
  </si>
  <si>
    <t>NAME OF THE DISTRICT     - Raigarh</t>
  </si>
  <si>
    <t>Tammar</t>
  </si>
  <si>
    <t>A. Water supply scheme to Urban Centres</t>
  </si>
  <si>
    <r>
      <rPr>
        <sz val="12"/>
        <color rgb="FF000000"/>
        <rFont val="Times New Roman"/>
        <charset val="134"/>
      </rPr>
      <t>B</t>
    </r>
    <r>
      <rPr>
        <b/>
        <sz val="12"/>
        <color rgb="FF000000"/>
        <rFont val="Times New Roman"/>
        <charset val="134"/>
      </rPr>
      <t>. Water supply scheme to Urban Centres</t>
    </r>
  </si>
  <si>
    <t xml:space="preserve">Urban area (Municipal corporations/Municipalities/ N.A.C. Etc
</t>
  </si>
  <si>
    <r>
      <rPr>
        <b/>
        <sz val="12"/>
        <color rgb="FF000000"/>
        <rFont val="Times New Roman"/>
        <charset val="134"/>
      </rPr>
      <t xml:space="preserve">NAME OF THE SUB_BASIN - Main </t>
    </r>
    <r>
      <rPr>
        <b/>
        <sz val="14"/>
        <color rgb="FF000000"/>
        <rFont val="Times New Roman"/>
        <charset val="134"/>
      </rPr>
      <t xml:space="preserve">Kelo </t>
    </r>
  </si>
  <si>
    <t>Kirodimal Nagar</t>
  </si>
  <si>
    <t xml:space="preserve">*In the Table B.Water supply scheme to Urban Centres of Existing Demand - Saria (Baramkela) is not available in the list of Basin area </t>
  </si>
  <si>
    <t>*In the Table B.Water supply scheme to Urban Centresof Existing Demand - Kirodimal Nagar  has have 0 livestock data in 2001 because it was established urban bodies in 2003 hence no data was recorded</t>
  </si>
  <si>
    <t xml:space="preserve">NAME OF THE SUB_BASIN - Pairi </t>
  </si>
  <si>
    <t>NAME OF THE DISTRICT     - Dhamtari , Raipur, Gariyaband.</t>
  </si>
  <si>
    <t>`</t>
  </si>
  <si>
    <t>Mainpur</t>
  </si>
  <si>
    <t>Gariyaband.</t>
  </si>
  <si>
    <t>Gariaband</t>
  </si>
  <si>
    <t xml:space="preserve">Raipur </t>
  </si>
  <si>
    <t>Fingeshwar</t>
  </si>
  <si>
    <t>*In the Table B.Water supply scheme to Urban Centres of Existing Demand - Gariyaband and Fingeshwar have 0 livestock data in 2001 because it was established urban bodies in 2008 hence no data was recorded</t>
  </si>
  <si>
    <t>NAME OF THE SUB_BASIN - Jonk</t>
  </si>
  <si>
    <t>NAME OF THE DISTRICT     - Raipur, Balodabazar, Bilaspur,  Janjgir Champa, Gariyaband, Mahasamund</t>
  </si>
  <si>
    <t>Basana</t>
  </si>
  <si>
    <t>Urban area (Munucipal corporations/Munucipalities/ N.A.C. etc</t>
  </si>
  <si>
    <t>Bhatgaon</t>
  </si>
  <si>
    <t>Tumgaon</t>
  </si>
  <si>
    <t>Tundra</t>
  </si>
  <si>
    <t>NAME OF THE SUB_BASIN - Ong</t>
  </si>
  <si>
    <t>NAME OF THE DISTRICT     - Raipur, Mahasmund</t>
  </si>
  <si>
    <t>NAME OF THE SUB_BASIN - Tel</t>
  </si>
  <si>
    <t>NAME OF THE DISTRICT     -  Bastar,  Kondagaon, Raipur,Gariaband</t>
  </si>
  <si>
    <t>Makdi</t>
  </si>
  <si>
    <t>Deobhog</t>
  </si>
  <si>
    <t xml:space="preserve">Kondagaon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</si>
</sst>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0.0000"/>
  </numFmts>
  <fonts count="43">
    <font>
      <sz val="11"/>
      <name val="Cambria"/>
      <charset val="134"/>
    </font>
    <font>
      <b/>
      <sz val="11"/>
      <name val="Cambria"/>
      <charset val="134"/>
    </font>
    <font>
      <b/>
      <sz val="14"/>
      <color rgb="FF000000"/>
      <name val="Cambria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name val="Times New Roman"/>
      <charset val="134"/>
    </font>
    <font>
      <b/>
      <sz val="14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1"/>
      <name val="Times New Roman"/>
      <charset val="134"/>
    </font>
    <font>
      <b/>
      <i/>
      <sz val="11"/>
      <color rgb="FF000000"/>
      <name val="Cambria"/>
      <charset val="134"/>
    </font>
    <font>
      <sz val="10"/>
      <color rgb="FFFF0000"/>
      <name val="Times New Roman"/>
      <charset val="134"/>
    </font>
    <font>
      <sz val="10"/>
      <color theme="1"/>
      <name val="Times New Roman"/>
      <charset val="134"/>
    </font>
    <font>
      <sz val="11"/>
      <color rgb="FF000000"/>
      <name val="Cambria"/>
      <charset val="134"/>
    </font>
    <font>
      <b/>
      <sz val="11"/>
      <color rgb="FF000000"/>
      <name val="Cambria"/>
      <charset val="134"/>
    </font>
    <font>
      <sz val="10"/>
      <color rgb="FF000000"/>
      <name val="Times New Roman"/>
      <charset val="134"/>
    </font>
    <font>
      <sz val="10"/>
      <color rgb="FF000000"/>
      <name val="Cambria"/>
      <charset val="134"/>
    </font>
    <font>
      <sz val="12"/>
      <color rgb="FF000000"/>
      <name val="Cambria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b/>
      <sz val="12"/>
      <color rgb="FF000000"/>
      <name val="Cambria"/>
      <charset val="134"/>
    </font>
    <font>
      <sz val="11"/>
      <name val="Cambria"/>
      <charset val="134"/>
    </font>
    <font>
      <b/>
      <sz val="11"/>
      <color rgb="FF000000"/>
      <name val="Times New Roman"/>
      <charset val="134"/>
    </font>
    <font>
      <b/>
      <sz val="10"/>
      <color rgb="FF000000"/>
      <name val="Cambria"/>
      <charset val="134"/>
    </font>
    <font>
      <sz val="11"/>
      <color theme="1"/>
      <name val="Cambria"/>
      <charset val="134"/>
      <scheme val="minor"/>
    </font>
    <font>
      <u/>
      <sz val="11"/>
      <color rgb="FF0000FF"/>
      <name val="Cambria"/>
      <charset val="0"/>
      <scheme val="minor"/>
    </font>
    <font>
      <u/>
      <sz val="11"/>
      <color rgb="FF800080"/>
      <name val="Cambria"/>
      <charset val="0"/>
      <scheme val="minor"/>
    </font>
    <font>
      <sz val="11"/>
      <color rgb="FFFF0000"/>
      <name val="Cambria"/>
      <charset val="0"/>
      <scheme val="minor"/>
    </font>
    <font>
      <b/>
      <sz val="18"/>
      <color theme="3"/>
      <name val="Cambria"/>
      <charset val="134"/>
      <scheme val="minor"/>
    </font>
    <font>
      <i/>
      <sz val="11"/>
      <color rgb="FF7F7F7F"/>
      <name val="Cambria"/>
      <charset val="0"/>
      <scheme val="minor"/>
    </font>
    <font>
      <b/>
      <sz val="15"/>
      <color theme="3"/>
      <name val="Cambria"/>
      <charset val="134"/>
      <scheme val="minor"/>
    </font>
    <font>
      <b/>
      <sz val="13"/>
      <color theme="3"/>
      <name val="Cambria"/>
      <charset val="134"/>
      <scheme val="minor"/>
    </font>
    <font>
      <b/>
      <sz val="11"/>
      <color theme="3"/>
      <name val="Cambria"/>
      <charset val="134"/>
      <scheme val="minor"/>
    </font>
    <font>
      <sz val="11"/>
      <color rgb="FF3F3F76"/>
      <name val="Cambria"/>
      <charset val="0"/>
      <scheme val="minor"/>
    </font>
    <font>
      <b/>
      <sz val="11"/>
      <color rgb="FF3F3F3F"/>
      <name val="Cambria"/>
      <charset val="0"/>
      <scheme val="minor"/>
    </font>
    <font>
      <b/>
      <sz val="11"/>
      <color rgb="FFFA7D00"/>
      <name val="Cambria"/>
      <charset val="0"/>
      <scheme val="minor"/>
    </font>
    <font>
      <b/>
      <sz val="11"/>
      <color rgb="FFFFFFFF"/>
      <name val="Cambria"/>
      <charset val="0"/>
      <scheme val="minor"/>
    </font>
    <font>
      <sz val="11"/>
      <color rgb="FFFA7D00"/>
      <name val="Cambria"/>
      <charset val="0"/>
      <scheme val="minor"/>
    </font>
    <font>
      <b/>
      <sz val="11"/>
      <color theme="1"/>
      <name val="Cambria"/>
      <charset val="0"/>
      <scheme val="minor"/>
    </font>
    <font>
      <sz val="11"/>
      <color rgb="FF006100"/>
      <name val="Cambria"/>
      <charset val="0"/>
      <scheme val="minor"/>
    </font>
    <font>
      <sz val="11"/>
      <color rgb="FF9C0006"/>
      <name val="Cambria"/>
      <charset val="0"/>
      <scheme val="minor"/>
    </font>
    <font>
      <sz val="11"/>
      <color rgb="FF9C6500"/>
      <name val="Cambria"/>
      <charset val="0"/>
      <scheme val="minor"/>
    </font>
    <font>
      <sz val="11"/>
      <color theme="0"/>
      <name val="Cambria"/>
      <charset val="0"/>
      <scheme val="minor"/>
    </font>
    <font>
      <sz val="11"/>
      <color theme="1"/>
      <name val="Cambria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3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9" applyNumberFormat="0" applyAlignment="0" applyProtection="0">
      <alignment vertical="center"/>
    </xf>
    <xf numFmtId="0" fontId="33" fillId="5" borderId="20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5" fillId="6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1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80" fontId="5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80" fontId="4" fillId="0" borderId="2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1" fontId="5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/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center" vertical="center"/>
    </xf>
    <xf numFmtId="180" fontId="4" fillId="0" borderId="2" xfId="0" applyNumberFormat="1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8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1" fontId="12" fillId="0" borderId="0" xfId="0" applyNumberFormat="1" applyFont="1" applyAlignment="1"/>
    <xf numFmtId="1" fontId="13" fillId="0" borderId="0" xfId="0" applyNumberFormat="1" applyFont="1" applyAlignment="1"/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4" fillId="0" borderId="0" xfId="0" applyFont="1">
      <alignment vertical="center"/>
    </xf>
    <xf numFmtId="0" fontId="10" fillId="2" borderId="0" xfId="0" applyFont="1" applyFill="1" applyAlignment="1"/>
    <xf numFmtId="0" fontId="14" fillId="2" borderId="0" xfId="0" applyFont="1" applyFill="1" applyAlignment="1">
      <alignment vertical="top"/>
    </xf>
    <xf numFmtId="0" fontId="15" fillId="0" borderId="0" xfId="0" applyFont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4" fillId="2" borderId="0" xfId="0" applyNumberFormat="1" applyFont="1" applyFill="1" applyAlignment="1">
      <alignment horizontal="center" vertical="center"/>
    </xf>
    <xf numFmtId="0" fontId="3" fillId="0" borderId="0" xfId="0" applyFont="1" applyAlignment="1"/>
    <xf numFmtId="0" fontId="3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" fontId="4" fillId="0" borderId="2" xfId="0" applyNumberFormat="1" applyFont="1" applyBorder="1" applyAlignment="1">
      <alignment horizontal="center" vertical="top"/>
    </xf>
    <xf numFmtId="180" fontId="4" fillId="0" borderId="2" xfId="0" applyNumberFormat="1" applyFont="1" applyBorder="1" applyAlignment="1">
      <alignment horizontal="center" vertical="top"/>
    </xf>
    <xf numFmtId="0" fontId="4" fillId="0" borderId="1" xfId="0" applyFont="1" applyBorder="1">
      <alignment vertical="center"/>
    </xf>
    <xf numFmtId="1" fontId="12" fillId="0" borderId="2" xfId="0" applyNumberFormat="1" applyFont="1" applyBorder="1" applyAlignment="1">
      <alignment horizontal="center"/>
    </xf>
    <xf numFmtId="180" fontId="12" fillId="0" borderId="2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181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81" fontId="4" fillId="0" borderId="2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17" fillId="0" borderId="3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center"/>
    </xf>
    <xf numFmtId="0" fontId="17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top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center"/>
    </xf>
    <xf numFmtId="0" fontId="17" fillId="0" borderId="2" xfId="0" applyFont="1" applyBorder="1" applyAlignment="1"/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9" fillId="0" borderId="1" xfId="0" applyFont="1" applyBorder="1">
      <alignment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80" fontId="4" fillId="0" borderId="0" xfId="0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top" wrapText="1"/>
    </xf>
    <xf numFmtId="180" fontId="12" fillId="0" borderId="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2" xfId="0" applyFont="1" applyBorder="1" applyAlignment="1"/>
    <xf numFmtId="0" fontId="3" fillId="0" borderId="0" xfId="0" applyFont="1" applyAlignment="1">
      <alignment horizontal="right" vertical="top"/>
    </xf>
    <xf numFmtId="180" fontId="16" fillId="0" borderId="2" xfId="0" applyNumberFormat="1" applyFont="1" applyBorder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12" fillId="0" borderId="2" xfId="0" applyFont="1" applyBorder="1" applyAlignment="1"/>
    <xf numFmtId="0" fontId="17" fillId="0" borderId="2" xfId="0" applyFont="1" applyBorder="1" applyAlignment="1">
      <alignment horizontal="center" vertical="top"/>
    </xf>
    <xf numFmtId="180" fontId="4" fillId="0" borderId="2" xfId="0" applyNumberFormat="1" applyFont="1" applyBorder="1" applyAlignment="1"/>
    <xf numFmtId="0" fontId="4" fillId="0" borderId="2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19" fillId="0" borderId="1" xfId="0" applyFont="1" applyBorder="1" applyAlignment="1"/>
    <xf numFmtId="180" fontId="4" fillId="0" borderId="2" xfId="0" applyNumberFormat="1" applyFont="1" applyBorder="1" applyAlignment="1">
      <alignment horizontal="center" vertical="top" wrapText="1"/>
    </xf>
    <xf numFmtId="180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14" fillId="0" borderId="0" xfId="0" applyFont="1" applyAlignment="1">
      <alignment vertical="top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2" fillId="0" borderId="0" xfId="0" applyFont="1" applyAlignment="1"/>
    <xf numFmtId="0" fontId="21" fillId="0" borderId="0" xfId="0" applyFont="1" applyAlignment="1">
      <alignment vertical="top" wrapText="1"/>
    </xf>
    <xf numFmtId="0" fontId="21" fillId="0" borderId="2" xfId="0" applyFont="1" applyBorder="1" applyAlignment="1">
      <alignment horizontal="right" vertical="top"/>
    </xf>
    <xf numFmtId="1" fontId="4" fillId="0" borderId="2" xfId="0" applyNumberFormat="1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180" fontId="4" fillId="0" borderId="2" xfId="0" applyNumberFormat="1" applyFont="1" applyBorder="1" applyAlignment="1">
      <alignment horizontal="center" vertical="center" wrapText="1"/>
    </xf>
    <xf numFmtId="181" fontId="5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181" fontId="4" fillId="0" borderId="2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top"/>
    </xf>
    <xf numFmtId="0" fontId="12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 vertical="top"/>
    </xf>
    <xf numFmtId="0" fontId="17" fillId="0" borderId="5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/>
    <xf numFmtId="0" fontId="16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3" fillId="0" borderId="1" xfId="0" applyFont="1" applyBorder="1" applyAlignment="1">
      <alignment horizontal="right" vertical="center"/>
    </xf>
    <xf numFmtId="180" fontId="4" fillId="2" borderId="2" xfId="0" applyNumberFormat="1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top" wrapText="1"/>
    </xf>
    <xf numFmtId="0" fontId="12" fillId="0" borderId="4" xfId="0" applyFont="1" applyBorder="1" applyAlignment="1"/>
    <xf numFmtId="0" fontId="12" fillId="0" borderId="5" xfId="0" applyFont="1" applyBorder="1" applyAlignment="1"/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1" fontId="5" fillId="0" borderId="0" xfId="0" applyNumberFormat="1" applyFont="1" applyAlignment="1">
      <alignment vertical="top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4" xfId="0" applyFont="1" applyBorder="1">
      <alignment vertic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180" fontId="5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/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2" fillId="0" borderId="0" xfId="0" applyFont="1" applyAlignment="1"/>
    <xf numFmtId="0" fontId="12" fillId="0" borderId="3" xfId="0" applyFont="1" applyBorder="1" applyAlignment="1"/>
    <xf numFmtId="0" fontId="21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180" fontId="4" fillId="2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O548"/>
  <sheetViews>
    <sheetView view="pageBreakPreview" zoomScale="85" zoomScaleNormal="80" topLeftCell="A511" workbookViewId="0">
      <selection activeCell="F530" sqref="F530"/>
    </sheetView>
  </sheetViews>
  <sheetFormatPr defaultColWidth="9" defaultRowHeight="14.25"/>
  <cols>
    <col min="1" max="1" width="7" customWidth="1"/>
    <col min="2" max="2" width="12.7" customWidth="1"/>
    <col min="3" max="3" width="14.7" customWidth="1"/>
    <col min="4" max="4" width="19.7" customWidth="1"/>
    <col min="5" max="5" width="12.6" customWidth="1"/>
    <col min="6" max="6" width="9.2" customWidth="1"/>
    <col min="7" max="7" width="12.7" customWidth="1"/>
    <col min="8" max="8" width="9.5" customWidth="1"/>
    <col min="9" max="9" width="18.9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customHeight="1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s="1" customFormat="1" ht="15.75" customHeight="1" spans="1:9">
      <c r="A3" s="7" t="s">
        <v>3</v>
      </c>
      <c r="B3" s="7"/>
      <c r="C3" s="7"/>
      <c r="D3" s="7"/>
      <c r="E3" s="7"/>
      <c r="F3" s="7"/>
      <c r="G3" s="7"/>
      <c r="H3" s="7"/>
      <c r="I3" s="7"/>
    </row>
    <row r="4" s="1" customFormat="1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210" customFormat="1" ht="35.4" customHeight="1" spans="1:9">
      <c r="A5" s="212" t="s">
        <v>5</v>
      </c>
      <c r="B5" s="212"/>
      <c r="C5" s="212"/>
      <c r="D5" s="212"/>
      <c r="E5" s="212"/>
      <c r="F5" s="212"/>
      <c r="G5" s="212"/>
      <c r="H5" s="212"/>
      <c r="I5" s="212"/>
    </row>
    <row r="6" ht="15.75" spans="1:9">
      <c r="A6" s="5" t="s">
        <v>6</v>
      </c>
      <c r="B6" s="5"/>
      <c r="C6" s="5"/>
      <c r="D6" s="5"/>
      <c r="E6" s="5"/>
      <c r="F6" s="5"/>
      <c r="G6" s="5"/>
      <c r="H6" s="5"/>
      <c r="I6" s="5"/>
    </row>
    <row r="7" ht="15.75" customHeight="1" spans="1:9">
      <c r="A7" s="7" t="s">
        <v>7</v>
      </c>
      <c r="B7" s="7"/>
      <c r="C7" s="7"/>
      <c r="D7" s="7"/>
      <c r="E7" s="7"/>
      <c r="F7" s="213" t="s">
        <v>8</v>
      </c>
      <c r="G7" s="213"/>
      <c r="H7" s="213"/>
      <c r="I7" s="213"/>
    </row>
    <row r="8" s="1" customFormat="1" ht="78.75" spans="1:9">
      <c r="A8" s="41" t="s">
        <v>9</v>
      </c>
      <c r="B8" s="35" t="s">
        <v>10</v>
      </c>
      <c r="C8" s="41" t="s">
        <v>11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35" t="s">
        <v>17</v>
      </c>
    </row>
    <row r="9" s="1" customFormat="1" ht="15.75" spans="1:9">
      <c r="A9" s="41" t="s">
        <v>18</v>
      </c>
      <c r="B9" s="35" t="s">
        <v>19</v>
      </c>
      <c r="C9" s="41" t="s">
        <v>20</v>
      </c>
      <c r="D9" s="35" t="s">
        <v>21</v>
      </c>
      <c r="E9" s="35" t="s">
        <v>22</v>
      </c>
      <c r="F9" s="35" t="s">
        <v>23</v>
      </c>
      <c r="G9" s="35" t="s">
        <v>24</v>
      </c>
      <c r="H9" s="35" t="s">
        <v>25</v>
      </c>
      <c r="I9" s="35" t="s">
        <v>26</v>
      </c>
    </row>
    <row r="10" ht="15.75" spans="1:9">
      <c r="A10" s="71">
        <v>1</v>
      </c>
      <c r="B10" s="71">
        <v>1981</v>
      </c>
      <c r="C10" s="71" t="s">
        <v>27</v>
      </c>
      <c r="D10" s="164" t="s">
        <v>28</v>
      </c>
      <c r="E10" s="163">
        <v>12264.111574302</v>
      </c>
      <c r="F10" s="15" t="s">
        <v>29</v>
      </c>
      <c r="G10" s="214">
        <f>E10*(65.19*365)/POWER(10,9)</f>
        <v>0.291816563237993</v>
      </c>
      <c r="H10" s="15" t="s">
        <v>29</v>
      </c>
      <c r="I10" s="153">
        <f>G10</f>
        <v>0.291816563237993</v>
      </c>
    </row>
    <row r="11" ht="15.75" spans="1:9">
      <c r="A11" s="71"/>
      <c r="B11" s="71"/>
      <c r="C11" s="71"/>
      <c r="D11" s="164" t="s">
        <v>30</v>
      </c>
      <c r="E11" s="163">
        <v>105392.958825737</v>
      </c>
      <c r="F11" s="15" t="s">
        <v>29</v>
      </c>
      <c r="G11" s="214">
        <f>E11*(65.19*365)/POWER(10,9)</f>
        <v>2.50775694983517</v>
      </c>
      <c r="H11" s="15" t="s">
        <v>29</v>
      </c>
      <c r="I11" s="153">
        <f t="shared" ref="I11:I74" si="0">G11</f>
        <v>2.50775694983517</v>
      </c>
    </row>
    <row r="12" ht="15.75" spans="1:9">
      <c r="A12" s="71"/>
      <c r="B12" s="71"/>
      <c r="C12" s="71"/>
      <c r="D12" s="164" t="s">
        <v>31</v>
      </c>
      <c r="E12" s="163">
        <v>50114.855926223</v>
      </c>
      <c r="F12" s="15" t="s">
        <v>29</v>
      </c>
      <c r="G12" s="214">
        <f>E12*(65.19*365)/POWER(10,9)</f>
        <v>1.19245042210812</v>
      </c>
      <c r="H12" s="15" t="s">
        <v>29</v>
      </c>
      <c r="I12" s="153">
        <f t="shared" si="0"/>
        <v>1.19245042210812</v>
      </c>
    </row>
    <row r="13" ht="15.75" customHeight="1" spans="1:9">
      <c r="A13" s="71"/>
      <c r="B13" s="71"/>
      <c r="C13" s="71"/>
      <c r="D13" s="164" t="s">
        <v>32</v>
      </c>
      <c r="E13" s="163">
        <v>43297.6352060712</v>
      </c>
      <c r="F13" s="15" t="s">
        <v>29</v>
      </c>
      <c r="G13" s="214">
        <f t="shared" ref="G13:G79" si="1">E13*(65.19*365)/POWER(10,9)</f>
        <v>1.03023908626558</v>
      </c>
      <c r="H13" s="15" t="s">
        <v>29</v>
      </c>
      <c r="I13" s="153">
        <f t="shared" si="0"/>
        <v>1.03023908626558</v>
      </c>
    </row>
    <row r="14" ht="15.75" spans="1:9">
      <c r="A14" s="71"/>
      <c r="B14" s="71"/>
      <c r="C14" s="71"/>
      <c r="D14" s="164" t="s">
        <v>33</v>
      </c>
      <c r="E14" s="163">
        <v>22381.3394624753</v>
      </c>
      <c r="F14" s="15" t="s">
        <v>29</v>
      </c>
      <c r="G14" s="214">
        <f t="shared" si="1"/>
        <v>0.532549424638949</v>
      </c>
      <c r="H14" s="15" t="s">
        <v>29</v>
      </c>
      <c r="I14" s="153">
        <f t="shared" si="0"/>
        <v>0.532549424638949</v>
      </c>
    </row>
    <row r="15" ht="15.75" spans="1:9">
      <c r="A15" s="71"/>
      <c r="B15" s="71"/>
      <c r="C15" s="71"/>
      <c r="D15" s="164" t="s">
        <v>34</v>
      </c>
      <c r="E15" s="163">
        <v>111902.653953447</v>
      </c>
      <c r="F15" s="15" t="s">
        <v>29</v>
      </c>
      <c r="G15" s="214">
        <f t="shared" si="1"/>
        <v>2.6626509140972</v>
      </c>
      <c r="H15" s="15" t="s">
        <v>29</v>
      </c>
      <c r="I15" s="153">
        <f t="shared" si="0"/>
        <v>2.6626509140972</v>
      </c>
    </row>
    <row r="16" ht="15.75" spans="1:9">
      <c r="A16" s="71"/>
      <c r="B16" s="71"/>
      <c r="C16" s="71"/>
      <c r="D16" s="164" t="s">
        <v>35</v>
      </c>
      <c r="E16" s="163">
        <v>92133.3243595897</v>
      </c>
      <c r="F16" s="15" t="s">
        <v>29</v>
      </c>
      <c r="G16" s="214">
        <f t="shared" si="1"/>
        <v>2.1922525664756</v>
      </c>
      <c r="H16" s="15" t="s">
        <v>29</v>
      </c>
      <c r="I16" s="153">
        <f t="shared" si="0"/>
        <v>2.1922525664756</v>
      </c>
    </row>
    <row r="17" ht="15.75" spans="1:9">
      <c r="A17" s="71"/>
      <c r="B17" s="71"/>
      <c r="C17" s="71"/>
      <c r="D17" s="164" t="s">
        <v>36</v>
      </c>
      <c r="E17" s="163">
        <v>53852.8817955112</v>
      </c>
      <c r="F17" s="15" t="s">
        <v>29</v>
      </c>
      <c r="G17" s="214">
        <f t="shared" si="1"/>
        <v>1.28139431795102</v>
      </c>
      <c r="H17" s="15" t="s">
        <v>29</v>
      </c>
      <c r="I17" s="153">
        <f t="shared" si="0"/>
        <v>1.28139431795102</v>
      </c>
    </row>
    <row r="18" ht="15.75" spans="1:9">
      <c r="A18" s="71"/>
      <c r="B18" s="71"/>
      <c r="C18" s="71"/>
      <c r="D18" s="164" t="s">
        <v>37</v>
      </c>
      <c r="E18" s="163">
        <v>45312.5442256428</v>
      </c>
      <c r="F18" s="15" t="s">
        <v>29</v>
      </c>
      <c r="G18" s="214">
        <f t="shared" si="1"/>
        <v>1.07818253669542</v>
      </c>
      <c r="H18" s="15" t="s">
        <v>29</v>
      </c>
      <c r="I18" s="153">
        <f t="shared" si="0"/>
        <v>1.07818253669542</v>
      </c>
    </row>
    <row r="19" ht="15.75" spans="1:9">
      <c r="A19" s="71"/>
      <c r="B19" s="71"/>
      <c r="C19" s="71"/>
      <c r="D19" s="164" t="s">
        <v>38</v>
      </c>
      <c r="E19" s="163">
        <v>121130.830097171</v>
      </c>
      <c r="F19" s="15" t="s">
        <v>29</v>
      </c>
      <c r="G19" s="214">
        <f t="shared" si="1"/>
        <v>2.88222936712262</v>
      </c>
      <c r="H19" s="15" t="s">
        <v>29</v>
      </c>
      <c r="I19" s="153">
        <f t="shared" si="0"/>
        <v>2.88222936712262</v>
      </c>
    </row>
    <row r="20" ht="15.75" spans="1:9">
      <c r="A20" s="71"/>
      <c r="B20" s="71"/>
      <c r="C20" s="71"/>
      <c r="D20" s="164" t="s">
        <v>39</v>
      </c>
      <c r="E20" s="163">
        <v>29413.8731103276</v>
      </c>
      <c r="F20" s="15" t="s">
        <v>29</v>
      </c>
      <c r="G20" s="214">
        <f t="shared" si="1"/>
        <v>0.699883991642723</v>
      </c>
      <c r="H20" s="15" t="s">
        <v>29</v>
      </c>
      <c r="I20" s="153">
        <f t="shared" si="0"/>
        <v>0.699883991642723</v>
      </c>
    </row>
    <row r="21" ht="15.75" customHeight="1" spans="1:9">
      <c r="A21" s="71"/>
      <c r="B21" s="71"/>
      <c r="C21" s="71"/>
      <c r="D21" s="164" t="s">
        <v>40</v>
      </c>
      <c r="E21" s="163">
        <v>36267.5898766793</v>
      </c>
      <c r="F21" s="15" t="s">
        <v>29</v>
      </c>
      <c r="G21" s="214">
        <f t="shared" si="1"/>
        <v>0.862963727182164</v>
      </c>
      <c r="H21" s="15" t="s">
        <v>29</v>
      </c>
      <c r="I21" s="153">
        <f t="shared" si="0"/>
        <v>0.862963727182164</v>
      </c>
    </row>
    <row r="22" ht="15.75" spans="1:9">
      <c r="A22" s="71"/>
      <c r="B22" s="71"/>
      <c r="C22" s="71"/>
      <c r="D22" s="164" t="s">
        <v>41</v>
      </c>
      <c r="E22" s="163">
        <v>61115.2141976723</v>
      </c>
      <c r="F22" s="15" t="s">
        <v>29</v>
      </c>
      <c r="G22" s="214">
        <f t="shared" si="1"/>
        <v>1.45419679694438</v>
      </c>
      <c r="H22" s="15" t="s">
        <v>29</v>
      </c>
      <c r="I22" s="153">
        <f t="shared" si="0"/>
        <v>1.45419679694438</v>
      </c>
    </row>
    <row r="23" ht="15.75" spans="1:9">
      <c r="A23" s="71"/>
      <c r="B23" s="71"/>
      <c r="C23" s="71"/>
      <c r="D23" s="164" t="s">
        <v>42</v>
      </c>
      <c r="E23" s="163">
        <v>2958.8190388296</v>
      </c>
      <c r="F23" s="15" t="s">
        <v>29</v>
      </c>
      <c r="G23" s="214">
        <f t="shared" si="1"/>
        <v>0.0704031757965751</v>
      </c>
      <c r="H23" s="15" t="s">
        <v>29</v>
      </c>
      <c r="I23" s="153">
        <f t="shared" si="0"/>
        <v>0.0704031757965751</v>
      </c>
    </row>
    <row r="24" ht="15.75" spans="1:9">
      <c r="A24" s="71"/>
      <c r="B24" s="71"/>
      <c r="C24" s="71"/>
      <c r="D24" s="164" t="s">
        <v>43</v>
      </c>
      <c r="E24" s="163">
        <v>1200.86117298793</v>
      </c>
      <c r="F24" s="15" t="s">
        <v>29</v>
      </c>
      <c r="G24" s="214">
        <f t="shared" ref="G24:G28" si="2">E24*(65.19*365)/POWER(10,9)</f>
        <v>0.0285737110514854</v>
      </c>
      <c r="H24" s="15" t="s">
        <v>29</v>
      </c>
      <c r="I24" s="153">
        <f t="shared" si="0"/>
        <v>0.0285737110514854</v>
      </c>
    </row>
    <row r="25" ht="15.75" spans="1:9">
      <c r="A25" s="71"/>
      <c r="B25" s="71"/>
      <c r="C25" s="71"/>
      <c r="D25" s="164" t="s">
        <v>44</v>
      </c>
      <c r="E25" s="163">
        <v>60697.1337339302</v>
      </c>
      <c r="F25" s="15" t="s">
        <v>29</v>
      </c>
      <c r="G25" s="214">
        <f t="shared" si="2"/>
        <v>1.44424884406194</v>
      </c>
      <c r="H25" s="15" t="s">
        <v>29</v>
      </c>
      <c r="I25" s="153">
        <f t="shared" si="0"/>
        <v>1.44424884406194</v>
      </c>
    </row>
    <row r="26" ht="15.75" spans="1:9">
      <c r="A26" s="71"/>
      <c r="B26" s="71"/>
      <c r="C26" s="71"/>
      <c r="D26" s="164" t="s">
        <v>45</v>
      </c>
      <c r="E26" s="163">
        <v>121624.357122103</v>
      </c>
      <c r="F26" s="15" t="s">
        <v>29</v>
      </c>
      <c r="G26" s="214">
        <f t="shared" si="2"/>
        <v>2.89397252188831</v>
      </c>
      <c r="H26" s="15" t="s">
        <v>29</v>
      </c>
      <c r="I26" s="153">
        <f t="shared" si="0"/>
        <v>2.89397252188831</v>
      </c>
    </row>
    <row r="27" ht="15.75" spans="1:9">
      <c r="A27" s="71"/>
      <c r="B27" s="71"/>
      <c r="C27" s="71"/>
      <c r="D27" s="164" t="s">
        <v>46</v>
      </c>
      <c r="E27" s="163">
        <v>55632.5760635677</v>
      </c>
      <c r="F27" s="15" t="s">
        <v>29</v>
      </c>
      <c r="G27" s="214">
        <f t="shared" si="2"/>
        <v>1.32374098625815</v>
      </c>
      <c r="H27" s="15" t="s">
        <v>29</v>
      </c>
      <c r="I27" s="153">
        <f t="shared" si="0"/>
        <v>1.32374098625815</v>
      </c>
    </row>
    <row r="28" ht="15.75" spans="1:9">
      <c r="A28" s="71"/>
      <c r="B28" s="71"/>
      <c r="C28" s="71"/>
      <c r="D28" s="164" t="s">
        <v>47</v>
      </c>
      <c r="E28" s="163">
        <v>21954.1724026124</v>
      </c>
      <c r="F28" s="15" t="s">
        <v>29</v>
      </c>
      <c r="G28" s="214">
        <f t="shared" si="2"/>
        <v>0.5223852621081</v>
      </c>
      <c r="H28" s="15" t="s">
        <v>29</v>
      </c>
      <c r="I28" s="153">
        <f t="shared" si="0"/>
        <v>0.5223852621081</v>
      </c>
    </row>
    <row r="29" ht="15.75" customHeight="1" spans="1:9">
      <c r="A29" s="71"/>
      <c r="B29" s="71">
        <v>1981</v>
      </c>
      <c r="C29" s="100" t="s">
        <v>48</v>
      </c>
      <c r="D29" s="164" t="s">
        <v>49</v>
      </c>
      <c r="E29" s="163">
        <v>50653.8582741601</v>
      </c>
      <c r="F29" s="15" t="s">
        <v>29</v>
      </c>
      <c r="G29" s="214">
        <f t="shared" si="1"/>
        <v>1.20527563262576</v>
      </c>
      <c r="H29" s="15" t="s">
        <v>29</v>
      </c>
      <c r="I29" s="153">
        <f t="shared" si="0"/>
        <v>1.20527563262576</v>
      </c>
    </row>
    <row r="30" ht="15.75" spans="1:9">
      <c r="A30" s="71"/>
      <c r="B30" s="71"/>
      <c r="C30" s="100"/>
      <c r="D30" s="164" t="s">
        <v>50</v>
      </c>
      <c r="E30" s="163">
        <v>77907.8908311192</v>
      </c>
      <c r="F30" s="15" t="s">
        <v>29</v>
      </c>
      <c r="G30" s="214">
        <f t="shared" si="1"/>
        <v>1.85376762219744</v>
      </c>
      <c r="H30" s="15" t="s">
        <v>29</v>
      </c>
      <c r="I30" s="153">
        <f t="shared" si="0"/>
        <v>1.85376762219744</v>
      </c>
    </row>
    <row r="31" ht="15.75" spans="1:9">
      <c r="A31" s="71"/>
      <c r="B31" s="71"/>
      <c r="C31" s="100"/>
      <c r="D31" s="164" t="s">
        <v>51</v>
      </c>
      <c r="E31" s="163">
        <v>66196.9545000181</v>
      </c>
      <c r="F31" s="15" t="s">
        <v>29</v>
      </c>
      <c r="G31" s="214">
        <f t="shared" si="1"/>
        <v>1.57511350430751</v>
      </c>
      <c r="H31" s="15" t="s">
        <v>29</v>
      </c>
      <c r="I31" s="153">
        <f t="shared" si="0"/>
        <v>1.57511350430751</v>
      </c>
    </row>
    <row r="32" ht="15.75" spans="1:9">
      <c r="A32" s="71"/>
      <c r="B32" s="71"/>
      <c r="C32" s="100"/>
      <c r="D32" s="164" t="s">
        <v>52</v>
      </c>
      <c r="E32" s="163">
        <v>46503.0198107491</v>
      </c>
      <c r="F32" s="15" t="s">
        <v>29</v>
      </c>
      <c r="G32" s="214">
        <f t="shared" si="1"/>
        <v>1.1065091294339</v>
      </c>
      <c r="H32" s="15" t="s">
        <v>29</v>
      </c>
      <c r="I32" s="153">
        <f t="shared" si="0"/>
        <v>1.1065091294339</v>
      </c>
    </row>
    <row r="33" ht="15.75" spans="1:9">
      <c r="A33" s="71"/>
      <c r="B33" s="71"/>
      <c r="C33" s="100"/>
      <c r="D33" s="164" t="s">
        <v>53</v>
      </c>
      <c r="E33" s="163">
        <v>89805.2240608669</v>
      </c>
      <c r="F33" s="15" t="s">
        <v>29</v>
      </c>
      <c r="G33" s="214">
        <f t="shared" si="1"/>
        <v>2.13685693313269</v>
      </c>
      <c r="H33" s="15" t="s">
        <v>29</v>
      </c>
      <c r="I33" s="153">
        <f t="shared" si="0"/>
        <v>2.13685693313269</v>
      </c>
    </row>
    <row r="34" ht="15.75" spans="1:9">
      <c r="A34" s="71"/>
      <c r="B34" s="71"/>
      <c r="C34" s="100"/>
      <c r="D34" s="164" t="s">
        <v>54</v>
      </c>
      <c r="E34" s="163">
        <v>66475.5477141244</v>
      </c>
      <c r="F34" s="15" t="s">
        <v>29</v>
      </c>
      <c r="G34" s="214">
        <f t="shared" si="1"/>
        <v>1.58174244875158</v>
      </c>
      <c r="H34" s="15" t="s">
        <v>29</v>
      </c>
      <c r="I34" s="153">
        <f t="shared" si="0"/>
        <v>1.58174244875158</v>
      </c>
    </row>
    <row r="35" ht="15.75" spans="1:9">
      <c r="A35" s="71"/>
      <c r="B35" s="71"/>
      <c r="C35" s="100"/>
      <c r="D35" s="164" t="s">
        <v>55</v>
      </c>
      <c r="E35" s="163">
        <v>11472.4284715424</v>
      </c>
      <c r="F35" s="15" t="s">
        <v>29</v>
      </c>
      <c r="G35" s="214">
        <f t="shared" si="1"/>
        <v>0.272978978401845</v>
      </c>
      <c r="H35" s="15" t="s">
        <v>29</v>
      </c>
      <c r="I35" s="153">
        <f t="shared" si="0"/>
        <v>0.272978978401845</v>
      </c>
    </row>
    <row r="36" ht="15.75" spans="1:9">
      <c r="A36" s="71"/>
      <c r="B36" s="71"/>
      <c r="C36" s="100"/>
      <c r="D36" s="164" t="s">
        <v>56</v>
      </c>
      <c r="E36" s="163">
        <v>78058.2109106729</v>
      </c>
      <c r="F36" s="15" t="s">
        <v>29</v>
      </c>
      <c r="G36" s="214">
        <f t="shared" si="1"/>
        <v>1.85734439078237</v>
      </c>
      <c r="H36" s="15" t="s">
        <v>29</v>
      </c>
      <c r="I36" s="153">
        <f t="shared" si="0"/>
        <v>1.85734439078237</v>
      </c>
    </row>
    <row r="37" ht="15.75" spans="1:9">
      <c r="A37" s="71"/>
      <c r="B37" s="71"/>
      <c r="C37" s="100"/>
      <c r="D37" s="164" t="s">
        <v>57</v>
      </c>
      <c r="E37" s="163">
        <v>29132.0314175174</v>
      </c>
      <c r="F37" s="15" t="s">
        <v>29</v>
      </c>
      <c r="G37" s="214">
        <f t="shared" si="1"/>
        <v>0.693177751759405</v>
      </c>
      <c r="H37" s="15" t="s">
        <v>29</v>
      </c>
      <c r="I37" s="153">
        <f t="shared" si="0"/>
        <v>0.693177751759405</v>
      </c>
    </row>
    <row r="38" ht="15.75" spans="1:9">
      <c r="A38" s="71"/>
      <c r="B38" s="71"/>
      <c r="C38" s="100"/>
      <c r="D38" s="164" t="s">
        <v>58</v>
      </c>
      <c r="E38" s="163">
        <v>952.047025249705</v>
      </c>
      <c r="F38" s="15" t="s">
        <v>29</v>
      </c>
      <c r="G38" s="214">
        <f t="shared" si="1"/>
        <v>0.0226533401352503</v>
      </c>
      <c r="H38" s="15" t="s">
        <v>29</v>
      </c>
      <c r="I38" s="153">
        <f t="shared" si="0"/>
        <v>0.0226533401352503</v>
      </c>
    </row>
    <row r="39" ht="15.75" spans="1:9">
      <c r="A39" s="71"/>
      <c r="B39" s="71"/>
      <c r="C39" s="100"/>
      <c r="D39" s="164" t="s">
        <v>59</v>
      </c>
      <c r="E39" s="163">
        <v>22763.4523808443</v>
      </c>
      <c r="F39" s="15" t="s">
        <v>29</v>
      </c>
      <c r="G39" s="214">
        <f t="shared" si="1"/>
        <v>0.541641553158143</v>
      </c>
      <c r="H39" s="15" t="s">
        <v>29</v>
      </c>
      <c r="I39" s="153">
        <f t="shared" si="0"/>
        <v>0.541641553158143</v>
      </c>
    </row>
    <row r="40" ht="15.75" spans="1:9">
      <c r="A40" s="71"/>
      <c r="B40" s="71"/>
      <c r="C40" s="100" t="s">
        <v>60</v>
      </c>
      <c r="D40" s="164" t="s">
        <v>61</v>
      </c>
      <c r="E40" s="163">
        <v>20688.1470292331</v>
      </c>
      <c r="F40" s="15" t="s">
        <v>29</v>
      </c>
      <c r="G40" s="214">
        <f t="shared" ref="G40:G45" si="3">E40*(65.19*365)/POWER(10,9)</f>
        <v>0.492261011265033</v>
      </c>
      <c r="H40" s="15" t="s">
        <v>29</v>
      </c>
      <c r="I40" s="153">
        <f t="shared" si="0"/>
        <v>0.492261011265033</v>
      </c>
    </row>
    <row r="41" ht="15.75" spans="1:9">
      <c r="A41" s="71"/>
      <c r="B41" s="71"/>
      <c r="C41" s="100"/>
      <c r="D41" s="164" t="s">
        <v>62</v>
      </c>
      <c r="E41" s="163">
        <v>21807.7018203375</v>
      </c>
      <c r="F41" s="15" t="s">
        <v>29</v>
      </c>
      <c r="G41" s="214">
        <f t="shared" si="3"/>
        <v>0.518900089808748</v>
      </c>
      <c r="H41" s="15" t="s">
        <v>29</v>
      </c>
      <c r="I41" s="153">
        <f t="shared" si="0"/>
        <v>0.518900089808748</v>
      </c>
    </row>
    <row r="42" ht="15.75" spans="1:9">
      <c r="A42" s="71"/>
      <c r="B42" s="71"/>
      <c r="C42" s="100"/>
      <c r="D42" s="164" t="s">
        <v>63</v>
      </c>
      <c r="E42" s="163">
        <v>117200.918832955</v>
      </c>
      <c r="F42" s="15" t="s">
        <v>29</v>
      </c>
      <c r="G42" s="214">
        <f t="shared" si="3"/>
        <v>2.78871968303292</v>
      </c>
      <c r="H42" s="15" t="s">
        <v>29</v>
      </c>
      <c r="I42" s="153">
        <f t="shared" si="0"/>
        <v>2.78871968303292</v>
      </c>
    </row>
    <row r="43" ht="15.75" spans="1:9">
      <c r="A43" s="71"/>
      <c r="B43" s="71"/>
      <c r="C43" s="100"/>
      <c r="D43" s="164" t="s">
        <v>64</v>
      </c>
      <c r="E43" s="163">
        <v>61839.7641854937</v>
      </c>
      <c r="F43" s="15" t="s">
        <v>29</v>
      </c>
      <c r="G43" s="214">
        <f t="shared" si="3"/>
        <v>1.4714369929471</v>
      </c>
      <c r="H43" s="15" t="s">
        <v>29</v>
      </c>
      <c r="I43" s="153">
        <f t="shared" si="0"/>
        <v>1.4714369929471</v>
      </c>
    </row>
    <row r="44" ht="15.75" spans="1:9">
      <c r="A44" s="71"/>
      <c r="B44" s="71"/>
      <c r="C44" s="100" t="s">
        <v>65</v>
      </c>
      <c r="D44" s="164" t="s">
        <v>66</v>
      </c>
      <c r="E44" s="163">
        <v>4622.7331524944</v>
      </c>
      <c r="F44" s="15" t="s">
        <v>29</v>
      </c>
      <c r="G44" s="214">
        <f t="shared" si="3"/>
        <v>0.109994930587055</v>
      </c>
      <c r="H44" s="15" t="s">
        <v>29</v>
      </c>
      <c r="I44" s="153">
        <f t="shared" si="0"/>
        <v>0.109994930587055</v>
      </c>
    </row>
    <row r="45" ht="15.75" spans="1:9">
      <c r="A45" s="71"/>
      <c r="B45" s="71"/>
      <c r="C45" s="100"/>
      <c r="D45" s="164" t="s">
        <v>67</v>
      </c>
      <c r="E45" s="163">
        <v>162.729850218186</v>
      </c>
      <c r="F45" s="15" t="s">
        <v>29</v>
      </c>
      <c r="G45" s="214">
        <f t="shared" si="3"/>
        <v>0.00387205101153909</v>
      </c>
      <c r="H45" s="15" t="s">
        <v>29</v>
      </c>
      <c r="I45" s="153">
        <f t="shared" si="0"/>
        <v>0.00387205101153909</v>
      </c>
    </row>
    <row r="46" ht="15.75" spans="1:9">
      <c r="A46" s="71"/>
      <c r="B46" s="71"/>
      <c r="C46" s="100" t="s">
        <v>68</v>
      </c>
      <c r="D46" s="164" t="s">
        <v>69</v>
      </c>
      <c r="E46" s="163">
        <v>54988.3028193526</v>
      </c>
      <c r="F46" s="15" t="s">
        <v>29</v>
      </c>
      <c r="G46" s="214">
        <f t="shared" si="1"/>
        <v>1.30841092318966</v>
      </c>
      <c r="H46" s="15" t="s">
        <v>29</v>
      </c>
      <c r="I46" s="153">
        <f t="shared" si="0"/>
        <v>1.30841092318966</v>
      </c>
    </row>
    <row r="47" ht="15.75" spans="1:9">
      <c r="A47" s="71"/>
      <c r="B47" s="71"/>
      <c r="C47" s="100"/>
      <c r="D47" s="164" t="s">
        <v>70</v>
      </c>
      <c r="E47" s="163">
        <v>11706.9443430425</v>
      </c>
      <c r="F47" s="15" t="s">
        <v>29</v>
      </c>
      <c r="G47" s="214">
        <f t="shared" si="1"/>
        <v>0.278559131128873</v>
      </c>
      <c r="H47" s="15" t="s">
        <v>29</v>
      </c>
      <c r="I47" s="153">
        <f t="shared" si="0"/>
        <v>0.278559131128873</v>
      </c>
    </row>
    <row r="48" ht="15.75" spans="1:9">
      <c r="A48" s="71"/>
      <c r="B48" s="71"/>
      <c r="C48" s="100"/>
      <c r="D48" s="164" t="s">
        <v>71</v>
      </c>
      <c r="E48" s="163">
        <v>37568.5129506847</v>
      </c>
      <c r="F48" s="15" t="s">
        <v>29</v>
      </c>
      <c r="G48" s="214">
        <f t="shared" si="1"/>
        <v>0.893918346128124</v>
      </c>
      <c r="H48" s="15" t="s">
        <v>29</v>
      </c>
      <c r="I48" s="153">
        <f t="shared" si="0"/>
        <v>0.893918346128124</v>
      </c>
    </row>
    <row r="49" ht="15.75" spans="1:9">
      <c r="A49" s="71"/>
      <c r="B49" s="71"/>
      <c r="C49" s="100"/>
      <c r="D49" s="164" t="s">
        <v>72</v>
      </c>
      <c r="E49" s="163">
        <v>2662.65059044256</v>
      </c>
      <c r="F49" s="15" t="s">
        <v>29</v>
      </c>
      <c r="G49" s="214">
        <f t="shared" si="1"/>
        <v>0.0633560400766969</v>
      </c>
      <c r="H49" s="15" t="s">
        <v>29</v>
      </c>
      <c r="I49" s="153">
        <f t="shared" si="0"/>
        <v>0.0633560400766969</v>
      </c>
    </row>
    <row r="50" ht="15.75" spans="1:9">
      <c r="A50" s="71"/>
      <c r="B50" s="71"/>
      <c r="C50" s="100"/>
      <c r="D50" s="164" t="s">
        <v>73</v>
      </c>
      <c r="E50" s="163">
        <v>28652.0073179221</v>
      </c>
      <c r="F50" s="15" t="s">
        <v>29</v>
      </c>
      <c r="G50" s="214">
        <f t="shared" si="1"/>
        <v>0.6817558903252</v>
      </c>
      <c r="H50" s="15" t="s">
        <v>29</v>
      </c>
      <c r="I50" s="153">
        <f t="shared" si="0"/>
        <v>0.6817558903252</v>
      </c>
    </row>
    <row r="51" ht="15.75" customHeight="1" spans="1:9">
      <c r="A51" s="71"/>
      <c r="B51" s="71"/>
      <c r="C51" s="100"/>
      <c r="D51" s="164" t="s">
        <v>74</v>
      </c>
      <c r="E51" s="163">
        <v>4670.58285823923</v>
      </c>
      <c r="F51" s="15" t="s">
        <v>29</v>
      </c>
      <c r="G51" s="214">
        <f t="shared" si="1"/>
        <v>0.111133483232945</v>
      </c>
      <c r="H51" s="15" t="s">
        <v>29</v>
      </c>
      <c r="I51" s="153">
        <f t="shared" si="0"/>
        <v>0.111133483232945</v>
      </c>
    </row>
    <row r="52" ht="15.75" spans="1:9">
      <c r="A52" s="71"/>
      <c r="B52" s="71"/>
      <c r="C52" s="100"/>
      <c r="D52" s="164" t="s">
        <v>75</v>
      </c>
      <c r="E52" s="163">
        <v>16097.3114790045</v>
      </c>
      <c r="F52" s="15" t="s">
        <v>29</v>
      </c>
      <c r="G52" s="214">
        <f t="shared" si="1"/>
        <v>0.383025063390451</v>
      </c>
      <c r="H52" s="15" t="s">
        <v>29</v>
      </c>
      <c r="I52" s="153">
        <f t="shared" si="0"/>
        <v>0.383025063390451</v>
      </c>
    </row>
    <row r="53" ht="18" customHeight="1" spans="1:9">
      <c r="A53" s="71">
        <v>2</v>
      </c>
      <c r="B53" s="71">
        <v>1991</v>
      </c>
      <c r="C53" s="100" t="s">
        <v>27</v>
      </c>
      <c r="D53" s="164" t="s">
        <v>28</v>
      </c>
      <c r="E53" s="163">
        <v>15757.2617273156</v>
      </c>
      <c r="F53" s="15" t="s">
        <v>29</v>
      </c>
      <c r="G53" s="214">
        <f t="shared" si="1"/>
        <v>0.374933800581352</v>
      </c>
      <c r="H53" s="15" t="s">
        <v>29</v>
      </c>
      <c r="I53" s="153">
        <f t="shared" si="0"/>
        <v>0.374933800581352</v>
      </c>
    </row>
    <row r="54" ht="18" customHeight="1" spans="1:9">
      <c r="A54" s="71"/>
      <c r="B54" s="71"/>
      <c r="C54" s="100"/>
      <c r="D54" s="164" t="s">
        <v>30</v>
      </c>
      <c r="E54" s="163">
        <v>135411.719501406</v>
      </c>
      <c r="F54" s="15" t="s">
        <v>29</v>
      </c>
      <c r="G54" s="214">
        <f t="shared" si="1"/>
        <v>3.22203384791828</v>
      </c>
      <c r="H54" s="15" t="s">
        <v>29</v>
      </c>
      <c r="I54" s="153">
        <f t="shared" si="0"/>
        <v>3.22203384791828</v>
      </c>
    </row>
    <row r="55" ht="18" customHeight="1" spans="1:9">
      <c r="A55" s="71"/>
      <c r="B55" s="71"/>
      <c r="C55" s="100"/>
      <c r="D55" s="164" t="s">
        <v>31</v>
      </c>
      <c r="E55" s="163">
        <v>64388.9201816198</v>
      </c>
      <c r="F55" s="15" t="s">
        <v>29</v>
      </c>
      <c r="G55" s="214">
        <f t="shared" si="1"/>
        <v>1.53209250292352</v>
      </c>
      <c r="H55" s="15" t="s">
        <v>29</v>
      </c>
      <c r="I55" s="153">
        <f t="shared" si="0"/>
        <v>1.53209250292352</v>
      </c>
    </row>
    <row r="56" ht="18" customHeight="1" spans="1:9">
      <c r="A56" s="71"/>
      <c r="B56" s="71"/>
      <c r="C56" s="100"/>
      <c r="D56" s="164" t="s">
        <v>32</v>
      </c>
      <c r="E56" s="163">
        <v>55013.0610285989</v>
      </c>
      <c r="F56" s="15" t="s">
        <v>29</v>
      </c>
      <c r="G56" s="214">
        <f t="shared" si="1"/>
        <v>1.30900002868584</v>
      </c>
      <c r="H56" s="15" t="s">
        <v>29</v>
      </c>
      <c r="I56" s="153">
        <f t="shared" si="0"/>
        <v>1.30900002868584</v>
      </c>
    </row>
    <row r="57" ht="18" customHeight="1" spans="1:9">
      <c r="A57" s="71"/>
      <c r="B57" s="71"/>
      <c r="C57" s="100"/>
      <c r="D57" s="164" t="s">
        <v>33</v>
      </c>
      <c r="E57" s="163">
        <v>28437.2573211179</v>
      </c>
      <c r="F57" s="15" t="s">
        <v>29</v>
      </c>
      <c r="G57" s="214">
        <f t="shared" si="1"/>
        <v>0.676646053738742</v>
      </c>
      <c r="H57" s="15" t="s">
        <v>29</v>
      </c>
      <c r="I57" s="153">
        <f t="shared" si="0"/>
        <v>0.676646053738742</v>
      </c>
    </row>
    <row r="58" ht="18" customHeight="1" spans="1:9">
      <c r="A58" s="71"/>
      <c r="B58" s="71"/>
      <c r="C58" s="100"/>
      <c r="D58" s="164" t="s">
        <v>34</v>
      </c>
      <c r="E58" s="163">
        <v>142181.149199112</v>
      </c>
      <c r="F58" s="15" t="s">
        <v>29</v>
      </c>
      <c r="G58" s="214">
        <f t="shared" si="1"/>
        <v>3.38310802744589</v>
      </c>
      <c r="H58" s="15" t="s">
        <v>29</v>
      </c>
      <c r="I58" s="153">
        <f t="shared" si="0"/>
        <v>3.38310802744589</v>
      </c>
    </row>
    <row r="59" ht="18" customHeight="1" spans="1:9">
      <c r="A59" s="71"/>
      <c r="B59" s="71"/>
      <c r="C59" s="100"/>
      <c r="D59" s="164" t="s">
        <v>35</v>
      </c>
      <c r="E59" s="163">
        <v>117062.656462381</v>
      </c>
      <c r="F59" s="15" t="s">
        <v>29</v>
      </c>
      <c r="G59" s="214">
        <f t="shared" si="1"/>
        <v>2.78542981979565</v>
      </c>
      <c r="H59" s="15" t="s">
        <v>29</v>
      </c>
      <c r="I59" s="153">
        <f t="shared" si="0"/>
        <v>2.78542981979565</v>
      </c>
    </row>
    <row r="60" ht="18" customHeight="1" spans="1:9">
      <c r="A60" s="71"/>
      <c r="B60" s="71"/>
      <c r="C60" s="100"/>
      <c r="D60" s="164" t="s">
        <v>36</v>
      </c>
      <c r="E60" s="163">
        <v>65084.8269326683</v>
      </c>
      <c r="F60" s="15" t="s">
        <v>29</v>
      </c>
      <c r="G60" s="214">
        <f t="shared" si="1"/>
        <v>1.54865115172534</v>
      </c>
      <c r="H60" s="15" t="s">
        <v>29</v>
      </c>
      <c r="I60" s="153">
        <f t="shared" si="0"/>
        <v>1.54865115172534</v>
      </c>
    </row>
    <row r="61" ht="18" customHeight="1" spans="1:9">
      <c r="A61" s="71"/>
      <c r="B61" s="71"/>
      <c r="C61" s="100"/>
      <c r="D61" s="164" t="s">
        <v>37</v>
      </c>
      <c r="E61" s="163">
        <v>54763.2550102576</v>
      </c>
      <c r="F61" s="15" t="s">
        <v>29</v>
      </c>
      <c r="G61" s="214">
        <f t="shared" si="1"/>
        <v>1.30305605685332</v>
      </c>
      <c r="H61" s="15" t="s">
        <v>29</v>
      </c>
      <c r="I61" s="153">
        <f t="shared" si="0"/>
        <v>1.30305605685332</v>
      </c>
    </row>
    <row r="62" ht="18" customHeight="1" spans="1:9">
      <c r="A62" s="71"/>
      <c r="B62" s="71"/>
      <c r="C62" s="100"/>
      <c r="D62" s="164" t="s">
        <v>38</v>
      </c>
      <c r="E62" s="163">
        <v>146394.748994509</v>
      </c>
      <c r="F62" s="15" t="s">
        <v>29</v>
      </c>
      <c r="G62" s="214">
        <f t="shared" si="1"/>
        <v>3.48336789573749</v>
      </c>
      <c r="H62" s="15" t="s">
        <v>29</v>
      </c>
      <c r="I62" s="153">
        <f t="shared" si="0"/>
        <v>3.48336789573749</v>
      </c>
    </row>
    <row r="63" ht="18" customHeight="1" spans="1:9">
      <c r="A63" s="71"/>
      <c r="B63" s="71"/>
      <c r="C63" s="100"/>
      <c r="D63" s="164" t="s">
        <v>39</v>
      </c>
      <c r="E63" s="163">
        <v>35548.6424677223</v>
      </c>
      <c r="F63" s="15" t="s">
        <v>29</v>
      </c>
      <c r="G63" s="214">
        <f t="shared" si="1"/>
        <v>0.845856840901848</v>
      </c>
      <c r="H63" s="15" t="s">
        <v>29</v>
      </c>
      <c r="I63" s="153">
        <f t="shared" si="0"/>
        <v>0.845856840901848</v>
      </c>
    </row>
    <row r="64" ht="18" customHeight="1" spans="1:9">
      <c r="A64" s="71"/>
      <c r="B64" s="71"/>
      <c r="C64" s="100"/>
      <c r="D64" s="164" t="s">
        <v>40</v>
      </c>
      <c r="E64" s="163">
        <v>43976.7376075417</v>
      </c>
      <c r="F64" s="15" t="s">
        <v>29</v>
      </c>
      <c r="G64" s="214">
        <f t="shared" si="1"/>
        <v>1.04639788649201</v>
      </c>
      <c r="H64" s="15" t="s">
        <v>29</v>
      </c>
      <c r="I64" s="153">
        <f t="shared" si="0"/>
        <v>1.04639788649201</v>
      </c>
    </row>
    <row r="65" ht="18" customHeight="1" spans="1:9">
      <c r="A65" s="71"/>
      <c r="B65" s="71"/>
      <c r="C65" s="100"/>
      <c r="D65" s="164" t="s">
        <v>41</v>
      </c>
      <c r="E65" s="163">
        <v>74106.0475134563</v>
      </c>
      <c r="F65" s="15" t="s">
        <v>29</v>
      </c>
      <c r="G65" s="214">
        <f t="shared" si="1"/>
        <v>1.76330523165181</v>
      </c>
      <c r="H65" s="15" t="s">
        <v>29</v>
      </c>
      <c r="I65" s="153">
        <f t="shared" si="0"/>
        <v>1.76330523165181</v>
      </c>
    </row>
    <row r="66" ht="18" customHeight="1" spans="1:9">
      <c r="A66" s="71"/>
      <c r="B66" s="71"/>
      <c r="C66" s="100"/>
      <c r="D66" s="164" t="s">
        <v>42</v>
      </c>
      <c r="E66" s="163">
        <v>3587.75449213064</v>
      </c>
      <c r="F66" s="15" t="s">
        <v>29</v>
      </c>
      <c r="G66" s="214">
        <f t="shared" si="1"/>
        <v>0.0853682860998287</v>
      </c>
      <c r="H66" s="15" t="s">
        <v>29</v>
      </c>
      <c r="I66" s="153">
        <f t="shared" si="0"/>
        <v>0.0853682860998287</v>
      </c>
    </row>
    <row r="67" ht="16.5" customHeight="1" spans="1:9">
      <c r="A67" s="71"/>
      <c r="B67" s="71"/>
      <c r="C67" s="100"/>
      <c r="D67" s="164" t="s">
        <v>43</v>
      </c>
      <c r="E67" s="163">
        <v>1397.57231376248</v>
      </c>
      <c r="F67" s="15" t="s">
        <v>29</v>
      </c>
      <c r="G67" s="214">
        <f t="shared" si="1"/>
        <v>0.0332543247839743</v>
      </c>
      <c r="H67" s="15" t="s">
        <v>29</v>
      </c>
      <c r="I67" s="153">
        <f t="shared" si="0"/>
        <v>0.0332543247839743</v>
      </c>
    </row>
    <row r="68" ht="18" customHeight="1" spans="1:9">
      <c r="A68" s="71"/>
      <c r="B68" s="71"/>
      <c r="C68" s="100"/>
      <c r="D68" s="164" t="s">
        <v>44</v>
      </c>
      <c r="E68" s="163">
        <v>70639.8337621432</v>
      </c>
      <c r="F68" s="15" t="s">
        <v>29</v>
      </c>
      <c r="G68" s="214">
        <f t="shared" si="1"/>
        <v>1.68082892847825</v>
      </c>
      <c r="H68" s="15" t="s">
        <v>29</v>
      </c>
      <c r="I68" s="153">
        <f t="shared" si="0"/>
        <v>1.68082892847825</v>
      </c>
    </row>
    <row r="69" ht="18" customHeight="1" spans="1:9">
      <c r="A69" s="71"/>
      <c r="B69" s="71"/>
      <c r="C69" s="100"/>
      <c r="D69" s="164" t="s">
        <v>45</v>
      </c>
      <c r="E69" s="163">
        <v>141547.447795384</v>
      </c>
      <c r="F69" s="15" t="s">
        <v>29</v>
      </c>
      <c r="G69" s="214">
        <f t="shared" si="1"/>
        <v>3.3680295144501</v>
      </c>
      <c r="H69" s="15" t="s">
        <v>29</v>
      </c>
      <c r="I69" s="153">
        <f t="shared" si="0"/>
        <v>3.3680295144501</v>
      </c>
    </row>
    <row r="70" ht="15.75" spans="1:9">
      <c r="A70" s="71"/>
      <c r="B70" s="71"/>
      <c r="C70" s="100"/>
      <c r="D70" s="164" t="s">
        <v>46</v>
      </c>
      <c r="E70" s="163">
        <v>64745.6590309038</v>
      </c>
      <c r="F70" s="15" t="s">
        <v>29</v>
      </c>
      <c r="G70" s="214">
        <f t="shared" si="1"/>
        <v>1.54058087196199</v>
      </c>
      <c r="H70" s="15" t="s">
        <v>29</v>
      </c>
      <c r="I70" s="153">
        <f t="shared" si="0"/>
        <v>1.54058087196199</v>
      </c>
    </row>
    <row r="71" ht="15.75" spans="1:9">
      <c r="A71" s="71"/>
      <c r="B71" s="71"/>
      <c r="C71" s="100"/>
      <c r="D71" s="164" t="s">
        <v>47</v>
      </c>
      <c r="E71" s="163">
        <v>25550.4501366437</v>
      </c>
      <c r="F71" s="15" t="s">
        <v>29</v>
      </c>
      <c r="G71" s="214">
        <f t="shared" si="1"/>
        <v>0.607956353208848</v>
      </c>
      <c r="H71" s="15" t="s">
        <v>29</v>
      </c>
      <c r="I71" s="153">
        <f t="shared" si="0"/>
        <v>0.607956353208848</v>
      </c>
    </row>
    <row r="72" ht="19.5" customHeight="1" spans="1:9">
      <c r="A72" s="71"/>
      <c r="B72" s="71">
        <v>1991</v>
      </c>
      <c r="C72" s="100" t="s">
        <v>48</v>
      </c>
      <c r="D72" s="164" t="s">
        <v>49</v>
      </c>
      <c r="E72" s="163">
        <v>64895.4045821097</v>
      </c>
      <c r="F72" s="15" t="s">
        <v>29</v>
      </c>
      <c r="G72" s="214">
        <f t="shared" si="1"/>
        <v>1.54414397001832</v>
      </c>
      <c r="H72" s="15" t="s">
        <v>29</v>
      </c>
      <c r="I72" s="153">
        <f t="shared" si="0"/>
        <v>1.54414397001832</v>
      </c>
    </row>
    <row r="73" ht="15.75" customHeight="1" spans="1:9">
      <c r="A73" s="71"/>
      <c r="B73" s="71"/>
      <c r="C73" s="100"/>
      <c r="D73" s="164" t="s">
        <v>50</v>
      </c>
      <c r="E73" s="163">
        <v>99812.023563138</v>
      </c>
      <c r="F73" s="15" t="s">
        <v>29</v>
      </c>
      <c r="G73" s="214">
        <f t="shared" si="1"/>
        <v>2.37496222286955</v>
      </c>
      <c r="H73" s="15" t="s">
        <v>29</v>
      </c>
      <c r="I73" s="153">
        <f t="shared" si="0"/>
        <v>2.37496222286955</v>
      </c>
    </row>
    <row r="74" ht="19.5" customHeight="1" spans="1:9">
      <c r="A74" s="71"/>
      <c r="B74" s="71"/>
      <c r="C74" s="100"/>
      <c r="D74" s="164" t="s">
        <v>51</v>
      </c>
      <c r="E74" s="163">
        <v>84808.5079942199</v>
      </c>
      <c r="F74" s="15" t="s">
        <v>29</v>
      </c>
      <c r="G74" s="214">
        <f t="shared" si="1"/>
        <v>2.01796332219227</v>
      </c>
      <c r="H74" s="15" t="s">
        <v>29</v>
      </c>
      <c r="I74" s="153">
        <f t="shared" si="0"/>
        <v>2.01796332219227</v>
      </c>
    </row>
    <row r="75" ht="16.5" customHeight="1" spans="1:9">
      <c r="A75" s="71"/>
      <c r="B75" s="71"/>
      <c r="C75" s="100"/>
      <c r="D75" s="164" t="s">
        <v>52</v>
      </c>
      <c r="E75" s="163">
        <v>59577.5403440078</v>
      </c>
      <c r="F75" s="15" t="s">
        <v>29</v>
      </c>
      <c r="G75" s="214">
        <f t="shared" si="1"/>
        <v>1.41760884708444</v>
      </c>
      <c r="H75" s="15" t="s">
        <v>29</v>
      </c>
      <c r="I75" s="153">
        <f t="shared" ref="I75:I95" si="4">G75</f>
        <v>1.41760884708444</v>
      </c>
    </row>
    <row r="76" ht="15.75" customHeight="1" spans="1:9">
      <c r="A76" s="71"/>
      <c r="B76" s="71"/>
      <c r="C76" s="100"/>
      <c r="D76" s="164" t="s">
        <v>53</v>
      </c>
      <c r="E76" s="163">
        <v>115054.342306437</v>
      </c>
      <c r="F76" s="15" t="s">
        <v>29</v>
      </c>
      <c r="G76" s="214">
        <f t="shared" si="1"/>
        <v>2.73764328985917</v>
      </c>
      <c r="H76" s="15" t="s">
        <v>29</v>
      </c>
      <c r="I76" s="153">
        <f t="shared" si="4"/>
        <v>2.73764328985917</v>
      </c>
    </row>
    <row r="77" ht="19.5" customHeight="1" spans="1:9">
      <c r="A77" s="71"/>
      <c r="B77" s="71"/>
      <c r="C77" s="100"/>
      <c r="D77" s="164" t="s">
        <v>54</v>
      </c>
      <c r="E77" s="163">
        <v>85165.4288677574</v>
      </c>
      <c r="F77" s="15" t="s">
        <v>29</v>
      </c>
      <c r="G77" s="214">
        <f t="shared" si="1"/>
        <v>2.02645602237952</v>
      </c>
      <c r="H77" s="15" t="s">
        <v>29</v>
      </c>
      <c r="I77" s="153">
        <f t="shared" si="4"/>
        <v>2.02645602237952</v>
      </c>
    </row>
    <row r="78" ht="19.5" customHeight="1" spans="1:9">
      <c r="A78" s="71"/>
      <c r="B78" s="71"/>
      <c r="C78" s="100"/>
      <c r="D78" s="164" t="s">
        <v>55</v>
      </c>
      <c r="E78" s="163">
        <v>14697.9502167529</v>
      </c>
      <c r="F78" s="15" t="s">
        <v>29</v>
      </c>
      <c r="G78" s="214">
        <f t="shared" si="1"/>
        <v>0.349728171739994</v>
      </c>
      <c r="H78" s="15" t="s">
        <v>29</v>
      </c>
      <c r="I78" s="153">
        <f t="shared" si="4"/>
        <v>0.349728171739994</v>
      </c>
    </row>
    <row r="79" ht="15.75" spans="1:9">
      <c r="A79" s="71"/>
      <c r="B79" s="71"/>
      <c r="C79" s="100"/>
      <c r="D79" s="164" t="s">
        <v>56</v>
      </c>
      <c r="E79" s="163">
        <v>100004.606768284</v>
      </c>
      <c r="F79" s="15" t="s">
        <v>29</v>
      </c>
      <c r="G79" s="214">
        <f t="shared" si="1"/>
        <v>2.37954461505692</v>
      </c>
      <c r="H79" s="15" t="s">
        <v>29</v>
      </c>
      <c r="I79" s="153">
        <f t="shared" si="4"/>
        <v>2.37954461505692</v>
      </c>
    </row>
    <row r="80" ht="15.75" spans="1:9">
      <c r="A80" s="71"/>
      <c r="B80" s="71"/>
      <c r="C80" s="100"/>
      <c r="D80" s="164" t="s">
        <v>57</v>
      </c>
      <c r="E80" s="163">
        <v>37322.6251573207</v>
      </c>
      <c r="F80" s="15" t="s">
        <v>29</v>
      </c>
      <c r="G80" s="214">
        <f t="shared" ref="G80:G95" si="5">E80*(65.19*365)/POWER(10,9)</f>
        <v>0.888067605912094</v>
      </c>
      <c r="H80" s="15" t="s">
        <v>29</v>
      </c>
      <c r="I80" s="153">
        <f t="shared" si="4"/>
        <v>0.888067605912094</v>
      </c>
    </row>
    <row r="81" ht="15.75" spans="1:9">
      <c r="A81" s="71"/>
      <c r="B81" s="71"/>
      <c r="C81" s="100"/>
      <c r="D81" s="164" t="s">
        <v>58</v>
      </c>
      <c r="E81" s="163">
        <v>1195.34009553943</v>
      </c>
      <c r="F81" s="15" t="s">
        <v>29</v>
      </c>
      <c r="G81" s="214">
        <f t="shared" ref="G81:G82" si="6">E81*(65.19*365)/POWER(10,9)</f>
        <v>0.0284423406022986</v>
      </c>
      <c r="H81" s="15" t="s">
        <v>29</v>
      </c>
      <c r="I81" s="153">
        <f t="shared" si="4"/>
        <v>0.0284423406022986</v>
      </c>
    </row>
    <row r="82" ht="15.75" spans="1:9">
      <c r="A82" s="71"/>
      <c r="B82" s="71"/>
      <c r="C82" s="100"/>
      <c r="D82" s="164" t="s">
        <v>59</v>
      </c>
      <c r="E82" s="163">
        <v>28580.5917376706</v>
      </c>
      <c r="F82" s="15" t="s">
        <v>29</v>
      </c>
      <c r="G82" s="214">
        <f t="shared" si="6"/>
        <v>0.680056603013242</v>
      </c>
      <c r="H82" s="15" t="s">
        <v>29</v>
      </c>
      <c r="I82" s="153">
        <f t="shared" si="4"/>
        <v>0.680056603013242</v>
      </c>
    </row>
    <row r="83" ht="15.75" spans="1:9">
      <c r="A83" s="71"/>
      <c r="B83" s="71"/>
      <c r="C83" s="100" t="s">
        <v>60</v>
      </c>
      <c r="D83" s="164" t="s">
        <v>61</v>
      </c>
      <c r="E83" s="163">
        <v>21444.8248634106</v>
      </c>
      <c r="F83" s="15" t="s">
        <v>29</v>
      </c>
      <c r="G83" s="214">
        <f t="shared" ref="G83:G88" si="7">E83*(65.19*365)/POWER(10,9)</f>
        <v>0.510265668488694</v>
      </c>
      <c r="H83" s="15" t="s">
        <v>29</v>
      </c>
      <c r="I83" s="153">
        <f t="shared" si="4"/>
        <v>0.510265668488694</v>
      </c>
    </row>
    <row r="84" ht="15.75" spans="1:9">
      <c r="A84" s="71"/>
      <c r="B84" s="71"/>
      <c r="C84" s="100"/>
      <c r="D84" s="164" t="s">
        <v>62</v>
      </c>
      <c r="E84" s="163">
        <v>22605.3278502803</v>
      </c>
      <c r="F84" s="15" t="s">
        <v>29</v>
      </c>
      <c r="G84" s="214">
        <f t="shared" si="7"/>
        <v>0.537879082734317</v>
      </c>
      <c r="H84" s="15" t="s">
        <v>29</v>
      </c>
      <c r="I84" s="153">
        <f t="shared" si="4"/>
        <v>0.537879082734317</v>
      </c>
    </row>
    <row r="85" ht="15.75" spans="1:9">
      <c r="A85" s="71"/>
      <c r="B85" s="71"/>
      <c r="C85" s="100"/>
      <c r="D85" s="164" t="s">
        <v>63</v>
      </c>
      <c r="E85" s="163">
        <v>121487.592612913</v>
      </c>
      <c r="F85" s="15" t="s">
        <v>29</v>
      </c>
      <c r="G85" s="214">
        <f t="shared" si="7"/>
        <v>2.89071829928907</v>
      </c>
      <c r="H85" s="15" t="s">
        <v>29</v>
      </c>
      <c r="I85" s="153">
        <f t="shared" si="4"/>
        <v>2.89071829928907</v>
      </c>
    </row>
    <row r="86" ht="15.75" spans="1:9">
      <c r="A86" s="71"/>
      <c r="B86" s="71"/>
      <c r="C86" s="100"/>
      <c r="D86" s="164" t="s">
        <v>64</v>
      </c>
      <c r="E86" s="163">
        <v>64101.5800341438</v>
      </c>
      <c r="F86" s="15" t="s">
        <v>29</v>
      </c>
      <c r="G86" s="214">
        <f t="shared" si="7"/>
        <v>1.52525543088543</v>
      </c>
      <c r="H86" s="15" t="s">
        <v>29</v>
      </c>
      <c r="I86" s="153">
        <f t="shared" si="4"/>
        <v>1.52525543088543</v>
      </c>
    </row>
    <row r="87" ht="15.75" spans="1:9">
      <c r="A87" s="71"/>
      <c r="B87" s="71"/>
      <c r="C87" s="100" t="s">
        <v>65</v>
      </c>
      <c r="D87" s="164" t="s">
        <v>66</v>
      </c>
      <c r="E87" s="163">
        <v>7673.04393796438</v>
      </c>
      <c r="F87" s="15" t="s">
        <v>29</v>
      </c>
      <c r="G87" s="214">
        <f t="shared" si="7"/>
        <v>0.182575093025303</v>
      </c>
      <c r="H87" s="15" t="s">
        <v>29</v>
      </c>
      <c r="I87" s="153">
        <f t="shared" si="4"/>
        <v>0.182575093025303</v>
      </c>
    </row>
    <row r="88" ht="15.75" spans="1:9">
      <c r="A88" s="71"/>
      <c r="B88" s="71"/>
      <c r="C88" s="100"/>
      <c r="D88" s="164" t="s">
        <v>67</v>
      </c>
      <c r="E88" s="163">
        <v>270.107152966152</v>
      </c>
      <c r="F88" s="15" t="s">
        <v>29</v>
      </c>
      <c r="G88" s="214">
        <f t="shared" si="7"/>
        <v>0.00642702413518016</v>
      </c>
      <c r="H88" s="15" t="s">
        <v>29</v>
      </c>
      <c r="I88" s="153">
        <f t="shared" si="4"/>
        <v>0.00642702413518016</v>
      </c>
    </row>
    <row r="89" ht="15.75" spans="1:9">
      <c r="A89" s="71"/>
      <c r="B89" s="71"/>
      <c r="C89" s="100" t="s">
        <v>68</v>
      </c>
      <c r="D89" s="164" t="s">
        <v>69</v>
      </c>
      <c r="E89" s="163">
        <v>94382.1499825966</v>
      </c>
      <c r="F89" s="15" t="s">
        <v>29</v>
      </c>
      <c r="G89" s="214">
        <f t="shared" si="5"/>
        <v>2.2457619104384</v>
      </c>
      <c r="H89" s="15" t="s">
        <v>29</v>
      </c>
      <c r="I89" s="153">
        <f t="shared" si="4"/>
        <v>2.2457619104384</v>
      </c>
    </row>
    <row r="90" ht="15.75" spans="1:9">
      <c r="A90" s="71"/>
      <c r="B90" s="71"/>
      <c r="C90" s="100"/>
      <c r="D90" s="164" t="s">
        <v>70</v>
      </c>
      <c r="E90" s="163">
        <v>20093.847603423</v>
      </c>
      <c r="F90" s="15" t="s">
        <v>29</v>
      </c>
      <c r="G90" s="214">
        <f t="shared" si="5"/>
        <v>0.478120042722508</v>
      </c>
      <c r="H90" s="15" t="s">
        <v>29</v>
      </c>
      <c r="I90" s="153">
        <f t="shared" si="4"/>
        <v>0.478120042722508</v>
      </c>
    </row>
    <row r="91" ht="15.75" spans="1:9">
      <c r="A91" s="71"/>
      <c r="B91" s="71"/>
      <c r="C91" s="100"/>
      <c r="D91" s="164" t="s">
        <v>71</v>
      </c>
      <c r="E91" s="163">
        <v>64482.7507330656</v>
      </c>
      <c r="F91" s="15" t="s">
        <v>29</v>
      </c>
      <c r="G91" s="214">
        <f t="shared" si="5"/>
        <v>1.53432513990532</v>
      </c>
      <c r="H91" s="15" t="s">
        <v>29</v>
      </c>
      <c r="I91" s="153">
        <f t="shared" si="4"/>
        <v>1.53432513990532</v>
      </c>
    </row>
    <row r="92" ht="15.75" spans="1:9">
      <c r="A92" s="71"/>
      <c r="B92" s="71"/>
      <c r="C92" s="100"/>
      <c r="D92" s="164" t="s">
        <v>72</v>
      </c>
      <c r="E92" s="163">
        <v>4570.18446639444</v>
      </c>
      <c r="F92" s="15" t="s">
        <v>29</v>
      </c>
      <c r="G92" s="214">
        <f t="shared" si="5"/>
        <v>0.108744568757953</v>
      </c>
      <c r="H92" s="15" t="s">
        <v>29</v>
      </c>
      <c r="I92" s="153">
        <f t="shared" si="4"/>
        <v>0.108744568757953</v>
      </c>
    </row>
    <row r="93" ht="15.75" spans="1:9">
      <c r="A93" s="71"/>
      <c r="B93" s="71"/>
      <c r="C93" s="100"/>
      <c r="D93" s="164" t="s">
        <v>73</v>
      </c>
      <c r="E93" s="163">
        <v>49178.4236525091</v>
      </c>
      <c r="F93" s="15" t="s">
        <v>29</v>
      </c>
      <c r="G93" s="214">
        <f t="shared" si="5"/>
        <v>1.17016862483608</v>
      </c>
      <c r="H93" s="15" t="s">
        <v>29</v>
      </c>
      <c r="I93" s="153">
        <f t="shared" si="4"/>
        <v>1.17016862483608</v>
      </c>
    </row>
    <row r="94" ht="15.75" customHeight="1" spans="1:9">
      <c r="A94" s="71"/>
      <c r="B94" s="71"/>
      <c r="C94" s="100"/>
      <c r="D94" s="164" t="s">
        <v>74</v>
      </c>
      <c r="E94" s="163">
        <v>6005.46852455871</v>
      </c>
      <c r="F94" s="15" t="s">
        <v>29</v>
      </c>
      <c r="G94" s="214">
        <f t="shared" si="5"/>
        <v>0.142896219987334</v>
      </c>
      <c r="H94" s="15" t="s">
        <v>29</v>
      </c>
      <c r="I94" s="153">
        <f t="shared" si="4"/>
        <v>0.142896219987334</v>
      </c>
    </row>
    <row r="95" ht="15.75" spans="1:9">
      <c r="A95" s="71"/>
      <c r="B95" s="71"/>
      <c r="C95" s="100"/>
      <c r="D95" s="164" t="s">
        <v>75</v>
      </c>
      <c r="E95" s="163">
        <v>20698.0371297007</v>
      </c>
      <c r="F95" s="15" t="s">
        <v>29</v>
      </c>
      <c r="G95" s="214">
        <f t="shared" si="5"/>
        <v>0.492496339777094</v>
      </c>
      <c r="H95" s="15" t="s">
        <v>29</v>
      </c>
      <c r="I95" s="153">
        <f t="shared" si="4"/>
        <v>0.492496339777094</v>
      </c>
    </row>
    <row r="96" ht="15.75" spans="1:9">
      <c r="A96" s="70">
        <v>3</v>
      </c>
      <c r="B96" s="70">
        <v>2001</v>
      </c>
      <c r="C96" s="98" t="s">
        <v>68</v>
      </c>
      <c r="D96" s="164" t="s">
        <v>74</v>
      </c>
      <c r="E96" s="163">
        <v>7327.01732266199</v>
      </c>
      <c r="F96" s="19">
        <v>14087</v>
      </c>
      <c r="G96" s="214">
        <f t="shared" ref="G96:G127" si="8">E96*(65.19*365)/POWER(10,9)</f>
        <v>0.174341614631482</v>
      </c>
      <c r="H96" s="20">
        <v>0.0743195507596082</v>
      </c>
      <c r="I96" s="76">
        <f t="shared" ref="I96:I159" si="9">G96+H96</f>
        <v>0.248661165391091</v>
      </c>
    </row>
    <row r="97" ht="15.75" spans="1:9">
      <c r="A97" s="83"/>
      <c r="B97" s="83"/>
      <c r="C97" s="99"/>
      <c r="D97" s="164" t="s">
        <v>75</v>
      </c>
      <c r="E97" s="163">
        <v>25252.7968424515</v>
      </c>
      <c r="F97" s="19">
        <v>36781</v>
      </c>
      <c r="G97" s="214">
        <f t="shared" si="8"/>
        <v>0.600873886548186</v>
      </c>
      <c r="H97" s="20">
        <v>0.619085666205404</v>
      </c>
      <c r="I97" s="76">
        <f t="shared" si="9"/>
        <v>1.21995955275359</v>
      </c>
    </row>
    <row r="98" ht="15.75" spans="1:9">
      <c r="A98" s="83"/>
      <c r="B98" s="83"/>
      <c r="C98" s="98" t="s">
        <v>37</v>
      </c>
      <c r="D98" s="164" t="s">
        <v>37</v>
      </c>
      <c r="E98" s="163">
        <v>66521.2652604941</v>
      </c>
      <c r="F98" s="19">
        <v>107655</v>
      </c>
      <c r="G98" s="214">
        <f t="shared" si="8"/>
        <v>1.58283026805104</v>
      </c>
      <c r="H98" s="20">
        <v>1.89138514177914</v>
      </c>
      <c r="I98" s="76">
        <f t="shared" si="9"/>
        <v>3.47421540983018</v>
      </c>
    </row>
    <row r="99" ht="15.75" spans="1:9">
      <c r="A99" s="83"/>
      <c r="B99" s="83"/>
      <c r="C99" s="101"/>
      <c r="D99" s="164" t="s">
        <v>39</v>
      </c>
      <c r="E99" s="163">
        <v>43181.1563210201</v>
      </c>
      <c r="F99" s="19">
        <v>67625</v>
      </c>
      <c r="G99" s="214">
        <f t="shared" si="8"/>
        <v>1.02746754690706</v>
      </c>
      <c r="H99" s="20">
        <v>2.31233600188928</v>
      </c>
      <c r="I99" s="76">
        <f t="shared" si="9"/>
        <v>3.33980354879634</v>
      </c>
    </row>
    <row r="100" ht="15.75" spans="1:9">
      <c r="A100" s="83"/>
      <c r="B100" s="83"/>
      <c r="C100" s="101"/>
      <c r="D100" s="164" t="s">
        <v>36</v>
      </c>
      <c r="E100" s="163">
        <v>79058.9426433915</v>
      </c>
      <c r="F100" s="19">
        <v>65166</v>
      </c>
      <c r="G100" s="214">
        <f t="shared" si="8"/>
        <v>1.88115615188678</v>
      </c>
      <c r="H100" s="20">
        <v>1.9943814333326</v>
      </c>
      <c r="I100" s="76">
        <f t="shared" si="9"/>
        <v>3.87553758521938</v>
      </c>
    </row>
    <row r="101" ht="15.75" spans="1:9">
      <c r="A101" s="83"/>
      <c r="B101" s="83"/>
      <c r="C101" s="99"/>
      <c r="D101" s="164" t="s">
        <v>38</v>
      </c>
      <c r="E101" s="163">
        <v>177826.608896478</v>
      </c>
      <c r="F101" s="19">
        <v>100586</v>
      </c>
      <c r="G101" s="214">
        <f t="shared" si="8"/>
        <v>4.23126857139591</v>
      </c>
      <c r="H101" s="20">
        <v>2.23722219303041</v>
      </c>
      <c r="I101" s="76">
        <f t="shared" si="9"/>
        <v>6.46849076442632</v>
      </c>
    </row>
    <row r="102" ht="15.75" spans="1:9">
      <c r="A102" s="83"/>
      <c r="B102" s="83"/>
      <c r="C102" s="98" t="s">
        <v>65</v>
      </c>
      <c r="D102" s="164" t="s">
        <v>67</v>
      </c>
      <c r="E102" s="163">
        <v>320.154912135865</v>
      </c>
      <c r="F102" s="19">
        <v>273</v>
      </c>
      <c r="G102" s="214">
        <f t="shared" si="8"/>
        <v>0.00761787803358002</v>
      </c>
      <c r="H102" s="20">
        <v>0.00350914495850544</v>
      </c>
      <c r="I102" s="76">
        <f t="shared" si="9"/>
        <v>0.0111270229920855</v>
      </c>
    </row>
    <row r="103" ht="15.75" spans="1:9">
      <c r="A103" s="83"/>
      <c r="B103" s="83"/>
      <c r="C103" s="99"/>
      <c r="D103" s="164" t="s">
        <v>66</v>
      </c>
      <c r="E103" s="163">
        <v>9094.77102252624</v>
      </c>
      <c r="F103" s="19">
        <v>7022</v>
      </c>
      <c r="G103" s="214">
        <f t="shared" si="8"/>
        <v>0.216404164879847</v>
      </c>
      <c r="H103" s="20">
        <v>0.208748889221202</v>
      </c>
      <c r="I103" s="76">
        <f t="shared" si="9"/>
        <v>0.425153054101049</v>
      </c>
    </row>
    <row r="104" ht="15.75" spans="1:9">
      <c r="A104" s="83"/>
      <c r="B104" s="83"/>
      <c r="C104" s="98" t="s">
        <v>76</v>
      </c>
      <c r="D104" s="164" t="s">
        <v>57</v>
      </c>
      <c r="E104" s="163">
        <v>44118.7917773738</v>
      </c>
      <c r="F104" s="19">
        <v>32963</v>
      </c>
      <c r="G104" s="214">
        <f t="shared" si="8"/>
        <v>1.04977797312795</v>
      </c>
      <c r="H104" s="20">
        <v>0.957281520066384</v>
      </c>
      <c r="I104" s="76">
        <f t="shared" si="9"/>
        <v>2.00705949319434</v>
      </c>
    </row>
    <row r="105" ht="15.75" spans="1:9">
      <c r="A105" s="83"/>
      <c r="B105" s="83"/>
      <c r="C105" s="101"/>
      <c r="D105" s="164" t="s">
        <v>77</v>
      </c>
      <c r="E105" s="163">
        <v>17374.335337715</v>
      </c>
      <c r="F105" s="19">
        <v>19277</v>
      </c>
      <c r="G105" s="214">
        <f t="shared" si="8"/>
        <v>0.413411016042959</v>
      </c>
      <c r="H105" s="20">
        <v>0.520927196498091</v>
      </c>
      <c r="I105" s="76">
        <f t="shared" si="9"/>
        <v>0.93433821254105</v>
      </c>
    </row>
    <row r="106" ht="15.75" spans="1:9">
      <c r="A106" s="83"/>
      <c r="B106" s="83"/>
      <c r="C106" s="101"/>
      <c r="D106" s="164" t="s">
        <v>49</v>
      </c>
      <c r="E106" s="163">
        <v>76712.3649528426</v>
      </c>
      <c r="F106" s="19">
        <v>66153</v>
      </c>
      <c r="G106" s="214">
        <f t="shared" si="8"/>
        <v>1.82532086101567</v>
      </c>
      <c r="H106" s="20">
        <v>2.03357958728405</v>
      </c>
      <c r="I106" s="76">
        <f t="shared" si="9"/>
        <v>3.85890044829972</v>
      </c>
    </row>
    <row r="107" ht="15.75" spans="1:9">
      <c r="A107" s="83"/>
      <c r="B107" s="83"/>
      <c r="C107" s="101"/>
      <c r="D107" s="164" t="s">
        <v>54</v>
      </c>
      <c r="E107" s="163">
        <v>100673.406734101</v>
      </c>
      <c r="F107" s="19">
        <v>76928</v>
      </c>
      <c r="G107" s="214">
        <f t="shared" si="8"/>
        <v>2.39545827552356</v>
      </c>
      <c r="H107" s="20">
        <v>1.81439178229116</v>
      </c>
      <c r="I107" s="76">
        <f t="shared" si="9"/>
        <v>4.20985005781472</v>
      </c>
    </row>
    <row r="108" ht="15.75" spans="1:9">
      <c r="A108" s="83"/>
      <c r="B108" s="83"/>
      <c r="C108" s="101"/>
      <c r="D108" s="164" t="s">
        <v>53</v>
      </c>
      <c r="E108" s="163">
        <v>136004.864339098</v>
      </c>
      <c r="F108" s="19">
        <v>129366</v>
      </c>
      <c r="G108" s="214">
        <f t="shared" si="8"/>
        <v>3.23614734378702</v>
      </c>
      <c r="H108" s="20">
        <v>3.04563990647497</v>
      </c>
      <c r="I108" s="76">
        <f t="shared" si="9"/>
        <v>6.28178725026199</v>
      </c>
    </row>
    <row r="109" ht="15.75" spans="1:9">
      <c r="A109" s="83"/>
      <c r="B109" s="83"/>
      <c r="C109" s="101"/>
      <c r="D109" s="164" t="s">
        <v>51</v>
      </c>
      <c r="E109" s="163">
        <v>100251.493279883</v>
      </c>
      <c r="F109" s="19">
        <v>84147</v>
      </c>
      <c r="G109" s="214">
        <f t="shared" si="8"/>
        <v>2.38541911912418</v>
      </c>
      <c r="H109" s="20">
        <v>2.30285970388119</v>
      </c>
      <c r="I109" s="76">
        <f t="shared" si="9"/>
        <v>4.68827882300537</v>
      </c>
    </row>
    <row r="110" ht="15.75" spans="1:9">
      <c r="A110" s="83"/>
      <c r="B110" s="83"/>
      <c r="C110" s="101"/>
      <c r="D110" s="164" t="s">
        <v>50</v>
      </c>
      <c r="E110" s="163">
        <v>117987.035099986</v>
      </c>
      <c r="F110" s="19">
        <v>90005</v>
      </c>
      <c r="G110" s="214">
        <f t="shared" si="8"/>
        <v>2.80742480863135</v>
      </c>
      <c r="H110" s="20">
        <v>2.51417200461015</v>
      </c>
      <c r="I110" s="76">
        <f t="shared" si="9"/>
        <v>5.3215968132415</v>
      </c>
    </row>
    <row r="111" ht="15.75" spans="1:9">
      <c r="A111" s="83"/>
      <c r="B111" s="83"/>
      <c r="C111" s="101"/>
      <c r="D111" s="164" t="s">
        <v>52</v>
      </c>
      <c r="E111" s="163">
        <v>70426.1580198574</v>
      </c>
      <c r="F111" s="19">
        <v>45112</v>
      </c>
      <c r="G111" s="214">
        <f t="shared" si="8"/>
        <v>1.67574465307979</v>
      </c>
      <c r="H111" s="20">
        <v>1.37839789435272</v>
      </c>
      <c r="I111" s="76">
        <f t="shared" si="9"/>
        <v>3.05414254743251</v>
      </c>
    </row>
    <row r="112" ht="15.75" spans="1:9">
      <c r="A112" s="83"/>
      <c r="B112" s="83"/>
      <c r="C112" s="99"/>
      <c r="D112" s="164" t="s">
        <v>56</v>
      </c>
      <c r="E112" s="163">
        <v>118214.686244348</v>
      </c>
      <c r="F112" s="19">
        <v>175013</v>
      </c>
      <c r="G112" s="214">
        <f t="shared" si="8"/>
        <v>2.8128416196382</v>
      </c>
      <c r="H112" s="20">
        <v>2.27638989508641</v>
      </c>
      <c r="I112" s="76">
        <f t="shared" si="9"/>
        <v>5.08923151472461</v>
      </c>
    </row>
    <row r="113" ht="15.75" spans="1:9">
      <c r="A113" s="83"/>
      <c r="B113" s="83"/>
      <c r="C113" s="98" t="s">
        <v>71</v>
      </c>
      <c r="D113" s="164" t="s">
        <v>72</v>
      </c>
      <c r="E113" s="163">
        <v>5536.13204944267</v>
      </c>
      <c r="F113" s="19">
        <v>3936</v>
      </c>
      <c r="G113" s="214">
        <f t="shared" si="8"/>
        <v>0.131728663630656</v>
      </c>
      <c r="H113" s="20">
        <v>0.0649264746357922</v>
      </c>
      <c r="I113" s="76">
        <f t="shared" si="9"/>
        <v>0.196655138266448</v>
      </c>
    </row>
    <row r="114" ht="15.75" spans="1:9">
      <c r="A114" s="83"/>
      <c r="B114" s="83"/>
      <c r="C114" s="101"/>
      <c r="D114" s="164" t="s">
        <v>70</v>
      </c>
      <c r="E114" s="163">
        <v>24340.8541891284</v>
      </c>
      <c r="F114" s="19">
        <v>30634</v>
      </c>
      <c r="G114" s="214">
        <f t="shared" si="8"/>
        <v>0.579174803875087</v>
      </c>
      <c r="H114" s="20">
        <v>0.469381240128296</v>
      </c>
      <c r="I114" s="76">
        <f t="shared" si="9"/>
        <v>1.04855604400338</v>
      </c>
    </row>
    <row r="115" ht="15.75" spans="1:9">
      <c r="A115" s="83"/>
      <c r="B115" s="83"/>
      <c r="C115" s="101"/>
      <c r="D115" s="164" t="s">
        <v>73</v>
      </c>
      <c r="E115" s="163">
        <v>59572.7041929486</v>
      </c>
      <c r="F115" s="19">
        <v>106093</v>
      </c>
      <c r="G115" s="214">
        <f t="shared" si="8"/>
        <v>1.41749377401349</v>
      </c>
      <c r="H115" s="20">
        <v>1.71622031309964</v>
      </c>
      <c r="I115" s="76">
        <f t="shared" si="9"/>
        <v>3.13371408711313</v>
      </c>
    </row>
    <row r="116" ht="15.75" spans="1:9">
      <c r="A116" s="83"/>
      <c r="B116" s="83"/>
      <c r="C116" s="101"/>
      <c r="D116" s="164" t="s">
        <v>71</v>
      </c>
      <c r="E116" s="163">
        <v>78111.731724296</v>
      </c>
      <c r="F116" s="19">
        <v>76423</v>
      </c>
      <c r="G116" s="214">
        <f t="shared" si="8"/>
        <v>1.858617883754</v>
      </c>
      <c r="H116" s="20">
        <v>1.32866584536901</v>
      </c>
      <c r="I116" s="76">
        <f t="shared" si="9"/>
        <v>3.18728372912301</v>
      </c>
    </row>
    <row r="117" ht="15.75" spans="1:9">
      <c r="A117" s="83"/>
      <c r="B117" s="83"/>
      <c r="C117" s="99"/>
      <c r="D117" s="164" t="s">
        <v>69</v>
      </c>
      <c r="E117" s="163">
        <v>114330.624782457</v>
      </c>
      <c r="F117" s="19">
        <v>145833</v>
      </c>
      <c r="G117" s="214">
        <f t="shared" si="8"/>
        <v>2.72042290179246</v>
      </c>
      <c r="H117" s="20">
        <v>2.74985868558599</v>
      </c>
      <c r="I117" s="76">
        <f t="shared" si="9"/>
        <v>5.47028158737845</v>
      </c>
    </row>
    <row r="118" ht="15.75" spans="1:11">
      <c r="A118" s="83"/>
      <c r="B118" s="83"/>
      <c r="C118" s="98" t="s">
        <v>58</v>
      </c>
      <c r="D118" s="164" t="s">
        <v>59</v>
      </c>
      <c r="E118" s="163">
        <v>27739.9114512642</v>
      </c>
      <c r="F118" s="19">
        <v>70968</v>
      </c>
      <c r="G118" s="214">
        <f t="shared" si="8"/>
        <v>0.660053162040388</v>
      </c>
      <c r="H118" s="20">
        <v>1.38551302307757</v>
      </c>
      <c r="I118" s="76">
        <f t="shared" si="9"/>
        <v>2.04556618511796</v>
      </c>
      <c r="K118" s="53"/>
    </row>
    <row r="119" ht="15.75" spans="1:11">
      <c r="A119" s="83"/>
      <c r="B119" s="83"/>
      <c r="C119" s="99"/>
      <c r="D119" s="164" t="s">
        <v>58</v>
      </c>
      <c r="E119" s="163">
        <v>1160.17991190521</v>
      </c>
      <c r="F119" s="19">
        <v>750</v>
      </c>
      <c r="G119" s="214">
        <f t="shared" si="8"/>
        <v>0.0276057268868417</v>
      </c>
      <c r="H119" s="20">
        <v>0.0158317225735336</v>
      </c>
      <c r="I119" s="76">
        <f t="shared" si="9"/>
        <v>0.0434374494603753</v>
      </c>
      <c r="K119" s="53"/>
    </row>
    <row r="120" ht="15.75" spans="1:11">
      <c r="A120" s="83"/>
      <c r="B120" s="83"/>
      <c r="C120" s="98" t="s">
        <v>45</v>
      </c>
      <c r="D120" s="164" t="s">
        <v>46</v>
      </c>
      <c r="E120" s="163">
        <v>69100.4024061075</v>
      </c>
      <c r="F120" s="19">
        <v>50414</v>
      </c>
      <c r="G120" s="214">
        <f t="shared" si="8"/>
        <v>1.64419915999176</v>
      </c>
      <c r="H120" s="20">
        <v>1.19858956860865</v>
      </c>
      <c r="I120" s="76">
        <f t="shared" si="9"/>
        <v>2.84278872860041</v>
      </c>
      <c r="K120" s="53"/>
    </row>
    <row r="121" ht="15.75" spans="1:11">
      <c r="A121" s="83"/>
      <c r="B121" s="83"/>
      <c r="C121" s="101"/>
      <c r="D121" s="164" t="s">
        <v>47</v>
      </c>
      <c r="E121" s="163">
        <v>27268.9538190745</v>
      </c>
      <c r="F121" s="19">
        <v>35614</v>
      </c>
      <c r="G121" s="214">
        <f t="shared" si="8"/>
        <v>0.648847031304895</v>
      </c>
      <c r="H121" s="20">
        <v>0.781723388555791</v>
      </c>
      <c r="I121" s="76">
        <f t="shared" si="9"/>
        <v>1.43057041986069</v>
      </c>
      <c r="K121" s="53"/>
    </row>
    <row r="122" ht="15.75" spans="1:11">
      <c r="A122" s="83"/>
      <c r="B122" s="83"/>
      <c r="C122" s="101"/>
      <c r="D122" s="164" t="s">
        <v>45</v>
      </c>
      <c r="E122" s="163">
        <v>151067.820586241</v>
      </c>
      <c r="F122" s="19">
        <v>146310</v>
      </c>
      <c r="G122" s="214">
        <f t="shared" si="8"/>
        <v>3.59456059676622</v>
      </c>
      <c r="H122" s="20">
        <v>4.0992253153377</v>
      </c>
      <c r="I122" s="76">
        <f t="shared" si="9"/>
        <v>7.69378591210392</v>
      </c>
      <c r="K122" s="53"/>
    </row>
    <row r="123" ht="15.75" spans="1:11">
      <c r="A123" s="83"/>
      <c r="B123" s="83"/>
      <c r="C123" s="101"/>
      <c r="D123" s="164" t="s">
        <v>43</v>
      </c>
      <c r="E123" s="163">
        <v>1491.57195583609</v>
      </c>
      <c r="F123" s="19">
        <v>1365</v>
      </c>
      <c r="G123" s="214">
        <f t="shared" si="8"/>
        <v>0.0354909851673485</v>
      </c>
      <c r="H123" s="20">
        <v>0.0347104272647093</v>
      </c>
      <c r="I123" s="76">
        <f t="shared" si="9"/>
        <v>0.0702014124320578</v>
      </c>
      <c r="K123" s="53"/>
    </row>
    <row r="124" ht="15.75" spans="1:11">
      <c r="A124" s="83"/>
      <c r="B124" s="83"/>
      <c r="C124" s="99"/>
      <c r="D124" s="164" t="s">
        <v>44</v>
      </c>
      <c r="E124" s="163">
        <v>75391.0148097305</v>
      </c>
      <c r="F124" s="19">
        <v>67461</v>
      </c>
      <c r="G124" s="214">
        <f t="shared" si="8"/>
        <v>1.79388019323791</v>
      </c>
      <c r="H124" s="20">
        <v>1.41682896104092</v>
      </c>
      <c r="I124" s="76">
        <f t="shared" si="9"/>
        <v>3.21070915427883</v>
      </c>
      <c r="K124" s="53"/>
    </row>
    <row r="125" ht="15.75" spans="1:11">
      <c r="A125" s="83"/>
      <c r="B125" s="83"/>
      <c r="C125" s="98" t="s">
        <v>60</v>
      </c>
      <c r="D125" s="164" t="s">
        <v>64</v>
      </c>
      <c r="E125" s="163">
        <v>75663.5215222775</v>
      </c>
      <c r="F125" s="19">
        <v>83519</v>
      </c>
      <c r="G125" s="214">
        <f t="shared" si="8"/>
        <v>1.8003643133336</v>
      </c>
      <c r="H125" s="20">
        <v>1.6981196094165</v>
      </c>
      <c r="I125" s="76">
        <f t="shared" si="9"/>
        <v>3.4984839227501</v>
      </c>
      <c r="K125" s="53"/>
    </row>
    <row r="126" ht="15.75" spans="1:11">
      <c r="A126" s="83"/>
      <c r="B126" s="83"/>
      <c r="C126" s="101"/>
      <c r="D126" s="164" t="s">
        <v>61</v>
      </c>
      <c r="E126" s="163">
        <v>25312.8076832094</v>
      </c>
      <c r="F126" s="19">
        <v>21936</v>
      </c>
      <c r="G126" s="214">
        <f t="shared" si="8"/>
        <v>0.602301805496974</v>
      </c>
      <c r="H126" s="20">
        <v>0.400425477495776</v>
      </c>
      <c r="I126" s="76">
        <f t="shared" si="9"/>
        <v>1.00272728299275</v>
      </c>
      <c r="K126" s="53"/>
    </row>
    <row r="127" ht="15.75" spans="1:11">
      <c r="A127" s="83"/>
      <c r="B127" s="83"/>
      <c r="C127" s="101"/>
      <c r="D127" s="164" t="s">
        <v>62</v>
      </c>
      <c r="E127" s="163">
        <v>26682.6294984738</v>
      </c>
      <c r="F127" s="19">
        <v>36140</v>
      </c>
      <c r="G127" s="214">
        <f t="shared" si="8"/>
        <v>0.63489582520701</v>
      </c>
      <c r="H127" s="20">
        <v>0.786805884470109</v>
      </c>
      <c r="I127" s="76">
        <f t="shared" si="9"/>
        <v>1.42170170967712</v>
      </c>
      <c r="K127" s="53"/>
    </row>
    <row r="128" ht="15.75" spans="1:11">
      <c r="A128" s="83"/>
      <c r="B128" s="83"/>
      <c r="C128" s="99"/>
      <c r="D128" s="164" t="s">
        <v>63</v>
      </c>
      <c r="E128" s="163">
        <v>143400.195025779</v>
      </c>
      <c r="F128" s="19">
        <v>127666</v>
      </c>
      <c r="G128" s="214">
        <f t="shared" ref="G128:G159" si="10">E128*(65.19*365)/POWER(10,9)</f>
        <v>3.41211443051164</v>
      </c>
      <c r="H128" s="20">
        <v>2.89708089749818</v>
      </c>
      <c r="I128" s="76">
        <f t="shared" si="9"/>
        <v>6.30919532800982</v>
      </c>
      <c r="K128" s="53"/>
    </row>
    <row r="129" ht="15.75" spans="1:11">
      <c r="A129" s="83"/>
      <c r="B129" s="83"/>
      <c r="C129" s="98" t="s">
        <v>27</v>
      </c>
      <c r="D129" s="164" t="s">
        <v>31</v>
      </c>
      <c r="E129" s="163">
        <v>75137.7197526997</v>
      </c>
      <c r="F129" s="19">
        <v>111483</v>
      </c>
      <c r="G129" s="214">
        <f t="shared" si="10"/>
        <v>1.78785320199765</v>
      </c>
      <c r="H129" s="20">
        <v>1.877797648185</v>
      </c>
      <c r="I129" s="76">
        <f t="shared" si="9"/>
        <v>3.66565085018265</v>
      </c>
      <c r="K129" s="53"/>
    </row>
    <row r="130" ht="15.75" spans="1:11">
      <c r="A130" s="83"/>
      <c r="B130" s="83"/>
      <c r="C130" s="101"/>
      <c r="D130" s="164" t="s">
        <v>30</v>
      </c>
      <c r="E130" s="163">
        <v>158016.748882088</v>
      </c>
      <c r="F130" s="19">
        <v>332975</v>
      </c>
      <c r="G130" s="214">
        <f t="shared" si="10"/>
        <v>3.75990582876251</v>
      </c>
      <c r="H130" s="20">
        <v>3.8788451067868</v>
      </c>
      <c r="I130" s="76">
        <f t="shared" si="9"/>
        <v>7.63875093554931</v>
      </c>
      <c r="K130" s="53"/>
    </row>
    <row r="131" ht="15.75" spans="1:11">
      <c r="A131" s="83"/>
      <c r="B131" s="83"/>
      <c r="C131" s="101"/>
      <c r="D131" s="164" t="s">
        <v>33</v>
      </c>
      <c r="E131" s="163">
        <v>27631.777444015</v>
      </c>
      <c r="F131" s="19">
        <v>17640</v>
      </c>
      <c r="G131" s="214">
        <f t="shared" si="10"/>
        <v>0.657480183624998</v>
      </c>
      <c r="H131" s="20">
        <v>0.535794827125365</v>
      </c>
      <c r="I131" s="76">
        <f t="shared" si="9"/>
        <v>1.19327501075036</v>
      </c>
      <c r="K131" s="53"/>
    </row>
    <row r="132" ht="15.75" spans="1:11">
      <c r="A132" s="83"/>
      <c r="B132" s="83"/>
      <c r="C132" s="101"/>
      <c r="D132" s="164" t="s">
        <v>35</v>
      </c>
      <c r="E132" s="163">
        <v>113746.879097641</v>
      </c>
      <c r="F132" s="19">
        <v>134371</v>
      </c>
      <c r="G132" s="214">
        <f t="shared" si="10"/>
        <v>2.70653305265695</v>
      </c>
      <c r="H132" s="20">
        <v>4.34327325486127</v>
      </c>
      <c r="I132" s="76">
        <f t="shared" si="9"/>
        <v>7.04980630751822</v>
      </c>
      <c r="K132" s="53"/>
    </row>
    <row r="133" ht="15.75" spans="1:11">
      <c r="A133" s="83"/>
      <c r="B133" s="83"/>
      <c r="C133" s="101"/>
      <c r="D133" s="164" t="s">
        <v>41</v>
      </c>
      <c r="E133" s="163">
        <v>89656.2410544506</v>
      </c>
      <c r="F133" s="19">
        <v>61668</v>
      </c>
      <c r="G133" s="214">
        <f t="shared" si="10"/>
        <v>2.13331197933397</v>
      </c>
      <c r="H133" s="20">
        <v>1.23721316809409</v>
      </c>
      <c r="I133" s="76">
        <f t="shared" si="9"/>
        <v>3.37052514742806</v>
      </c>
      <c r="K133" s="53"/>
    </row>
    <row r="134" ht="15.75" spans="1:11">
      <c r="A134" s="83"/>
      <c r="B134" s="83"/>
      <c r="C134" s="101"/>
      <c r="D134" s="164" t="s">
        <v>42</v>
      </c>
      <c r="E134" s="163">
        <v>4340.59826942254</v>
      </c>
      <c r="F134" s="19">
        <v>2178</v>
      </c>
      <c r="G134" s="214">
        <f t="shared" si="10"/>
        <v>0.103281714432034</v>
      </c>
      <c r="H134" s="20">
        <v>0.04511021347411</v>
      </c>
      <c r="I134" s="76">
        <f t="shared" si="9"/>
        <v>0.148391927906144</v>
      </c>
      <c r="K134" s="53"/>
    </row>
    <row r="135" ht="15.75" spans="1:11">
      <c r="A135" s="83"/>
      <c r="B135" s="83"/>
      <c r="C135" s="101"/>
      <c r="D135" s="164" t="s">
        <v>34</v>
      </c>
      <c r="E135" s="163">
        <v>138153.895329654</v>
      </c>
      <c r="F135" s="19">
        <v>66733</v>
      </c>
      <c r="G135" s="214">
        <f t="shared" si="10"/>
        <v>3.28728213933715</v>
      </c>
      <c r="H135" s="20">
        <v>2.15888973726392</v>
      </c>
      <c r="I135" s="76">
        <f t="shared" si="9"/>
        <v>5.44617187660107</v>
      </c>
      <c r="K135" s="53"/>
    </row>
    <row r="136" ht="15.75" spans="1:11">
      <c r="A136" s="83"/>
      <c r="B136" s="83"/>
      <c r="C136" s="101"/>
      <c r="D136" s="164" t="s">
        <v>32</v>
      </c>
      <c r="E136" s="163">
        <v>53454.8265921342</v>
      </c>
      <c r="F136" s="19">
        <v>75284</v>
      </c>
      <c r="G136" s="214">
        <f t="shared" si="10"/>
        <v>1.27192285312255</v>
      </c>
      <c r="H136" s="20">
        <v>2.25819040499159</v>
      </c>
      <c r="I136" s="76">
        <f t="shared" si="9"/>
        <v>3.53011325811414</v>
      </c>
      <c r="K136" s="53"/>
    </row>
    <row r="137" ht="15.75" spans="1:11">
      <c r="A137" s="83"/>
      <c r="B137" s="83"/>
      <c r="C137" s="101"/>
      <c r="D137" s="164" t="s">
        <v>40</v>
      </c>
      <c r="E137" s="163">
        <v>53204.6859875255</v>
      </c>
      <c r="F137" s="19">
        <v>92135</v>
      </c>
      <c r="G137" s="214">
        <f t="shared" si="10"/>
        <v>1.26597092002728</v>
      </c>
      <c r="H137" s="20">
        <v>2.37401236157587</v>
      </c>
      <c r="I137" s="76">
        <f t="shared" si="9"/>
        <v>3.63998328160315</v>
      </c>
      <c r="K137" s="53"/>
    </row>
    <row r="138" ht="15.75" spans="1:11">
      <c r="A138" s="84"/>
      <c r="B138" s="84"/>
      <c r="C138" s="99"/>
      <c r="D138" s="164" t="s">
        <v>28</v>
      </c>
      <c r="E138" s="163">
        <v>18387.7088231548</v>
      </c>
      <c r="F138" s="19">
        <v>53309</v>
      </c>
      <c r="G138" s="214">
        <f t="shared" si="10"/>
        <v>0.437523579436233</v>
      </c>
      <c r="H138" s="20">
        <v>0.379263463530296</v>
      </c>
      <c r="I138" s="76">
        <f t="shared" si="9"/>
        <v>0.816787042966529</v>
      </c>
      <c r="K138" s="53"/>
    </row>
    <row r="139" ht="15.75" spans="1:11">
      <c r="A139" s="70">
        <v>4</v>
      </c>
      <c r="B139" s="70">
        <v>2011</v>
      </c>
      <c r="C139" s="98" t="s">
        <v>68</v>
      </c>
      <c r="D139" s="164" t="s">
        <v>74</v>
      </c>
      <c r="E139" s="163">
        <v>8215.54654094946</v>
      </c>
      <c r="F139" s="19">
        <v>15367</v>
      </c>
      <c r="G139" s="214">
        <f t="shared" si="10"/>
        <v>0.195483589836641</v>
      </c>
      <c r="H139" s="20">
        <v>0.258481395133425</v>
      </c>
      <c r="I139" s="76">
        <f t="shared" si="9"/>
        <v>0.453964984970066</v>
      </c>
      <c r="K139" s="53"/>
    </row>
    <row r="140" ht="15.75" spans="1:11">
      <c r="A140" s="83"/>
      <c r="B140" s="83"/>
      <c r="C140" s="99"/>
      <c r="D140" s="164" t="s">
        <v>75</v>
      </c>
      <c r="E140" s="163">
        <v>28315.140883675</v>
      </c>
      <c r="F140" s="19">
        <v>45434</v>
      </c>
      <c r="G140" s="214">
        <f t="shared" si="10"/>
        <v>0.673740372485472</v>
      </c>
      <c r="H140" s="20">
        <v>0.826156772818</v>
      </c>
      <c r="I140" s="76">
        <f t="shared" si="9"/>
        <v>1.49989714530347</v>
      </c>
      <c r="K140" s="53"/>
    </row>
    <row r="141" ht="15.75" spans="1:11">
      <c r="A141" s="83"/>
      <c r="B141" s="83"/>
      <c r="C141" s="98" t="s">
        <v>37</v>
      </c>
      <c r="D141" s="164" t="s">
        <v>37</v>
      </c>
      <c r="E141" s="163">
        <v>70599.2551159048</v>
      </c>
      <c r="F141" s="19">
        <v>180183</v>
      </c>
      <c r="G141" s="214">
        <f t="shared" si="10"/>
        <v>1.67986338596713</v>
      </c>
      <c r="H141" s="20">
        <v>1.9224653536265</v>
      </c>
      <c r="I141" s="76">
        <f t="shared" si="9"/>
        <v>3.60232873959363</v>
      </c>
      <c r="K141" s="53"/>
    </row>
    <row r="142" ht="15.75" spans="1:11">
      <c r="A142" s="83"/>
      <c r="B142" s="83"/>
      <c r="C142" s="101"/>
      <c r="D142" s="164" t="s">
        <v>39</v>
      </c>
      <c r="E142" s="163">
        <v>45828.3145903714</v>
      </c>
      <c r="F142" s="19">
        <v>63013</v>
      </c>
      <c r="G142" s="214">
        <f t="shared" si="10"/>
        <v>1.0904549572734</v>
      </c>
      <c r="H142" s="20">
        <v>2.11911400642695</v>
      </c>
      <c r="I142" s="76">
        <f t="shared" si="9"/>
        <v>3.20956896370035</v>
      </c>
      <c r="K142" s="53"/>
    </row>
    <row r="143" ht="15.75" spans="1:11">
      <c r="A143" s="83"/>
      <c r="B143" s="83"/>
      <c r="C143" s="101"/>
      <c r="D143" s="164" t="s">
        <v>36</v>
      </c>
      <c r="E143" s="163">
        <v>83905.5366583541</v>
      </c>
      <c r="F143" s="19">
        <v>67856</v>
      </c>
      <c r="G143" s="214">
        <f t="shared" si="10"/>
        <v>1.99647770618671</v>
      </c>
      <c r="H143" s="20">
        <v>1.8492144659198</v>
      </c>
      <c r="I143" s="76">
        <f t="shared" si="9"/>
        <v>3.84569217210651</v>
      </c>
      <c r="K143" s="53"/>
    </row>
    <row r="144" ht="15.75" spans="1:11">
      <c r="A144" s="83"/>
      <c r="B144" s="83"/>
      <c r="C144" s="99"/>
      <c r="D144" s="164" t="s">
        <v>38</v>
      </c>
      <c r="E144" s="163">
        <v>188728.011692444</v>
      </c>
      <c r="F144" s="19">
        <v>97180</v>
      </c>
      <c r="G144" s="214">
        <f t="shared" si="10"/>
        <v>4.49066036501411</v>
      </c>
      <c r="H144" s="20">
        <v>2.17377067443045</v>
      </c>
      <c r="I144" s="76">
        <f t="shared" si="9"/>
        <v>6.66443103944455</v>
      </c>
      <c r="K144" s="53"/>
    </row>
    <row r="145" ht="15.75" spans="1:11">
      <c r="A145" s="83"/>
      <c r="B145" s="83"/>
      <c r="C145" s="98" t="s">
        <v>65</v>
      </c>
      <c r="D145" s="164" t="s">
        <v>67</v>
      </c>
      <c r="E145" s="163">
        <v>343.741779691001</v>
      </c>
      <c r="F145" s="19">
        <v>265</v>
      </c>
      <c r="G145" s="214">
        <f t="shared" si="10"/>
        <v>0.00817911221559057</v>
      </c>
      <c r="H145" s="20">
        <v>0.00530737495085</v>
      </c>
      <c r="I145" s="76">
        <f t="shared" si="9"/>
        <v>0.0134864871664406</v>
      </c>
      <c r="K145" s="53"/>
    </row>
    <row r="146" ht="15.75" spans="1:11">
      <c r="A146" s="83"/>
      <c r="B146" s="83"/>
      <c r="C146" s="99"/>
      <c r="D146" s="164" t="s">
        <v>66</v>
      </c>
      <c r="E146" s="163">
        <v>9764.81277862956</v>
      </c>
      <c r="F146" s="19">
        <v>7386</v>
      </c>
      <c r="G146" s="214">
        <f t="shared" si="10"/>
        <v>0.232347372939184</v>
      </c>
      <c r="H146" s="20">
        <v>0.215126941516942</v>
      </c>
      <c r="I146" s="76">
        <f t="shared" si="9"/>
        <v>0.447474314456126</v>
      </c>
      <c r="K146" s="53"/>
    </row>
    <row r="147" ht="15.75" spans="1:11">
      <c r="A147" s="83"/>
      <c r="B147" s="83"/>
      <c r="C147" s="98" t="s">
        <v>76</v>
      </c>
      <c r="D147" s="164" t="s">
        <v>57</v>
      </c>
      <c r="E147" s="163">
        <v>52495.0657250734</v>
      </c>
      <c r="F147" s="19">
        <v>32043</v>
      </c>
      <c r="G147" s="214">
        <f t="shared" si="10"/>
        <v>1.2490859671354</v>
      </c>
      <c r="H147" s="20">
        <v>0.980937190171575</v>
      </c>
      <c r="I147" s="76">
        <f t="shared" si="9"/>
        <v>2.23002315730697</v>
      </c>
      <c r="K147" s="53"/>
    </row>
    <row r="148" ht="15.75" spans="1:11">
      <c r="A148" s="83"/>
      <c r="B148" s="83"/>
      <c r="C148" s="101"/>
      <c r="D148" s="164" t="s">
        <v>77</v>
      </c>
      <c r="E148" s="163">
        <v>20672.9794434345</v>
      </c>
      <c r="F148" s="19">
        <v>19232</v>
      </c>
      <c r="G148" s="214">
        <f t="shared" si="10"/>
        <v>0.491900108419886</v>
      </c>
      <c r="H148" s="20">
        <v>0.5024788902224</v>
      </c>
      <c r="I148" s="76">
        <f t="shared" si="9"/>
        <v>0.994378998642286</v>
      </c>
      <c r="K148" s="53"/>
    </row>
    <row r="149" ht="15.75" spans="1:11">
      <c r="A149" s="83"/>
      <c r="B149" s="83"/>
      <c r="C149" s="101"/>
      <c r="D149" s="164" t="s">
        <v>49</v>
      </c>
      <c r="E149" s="163">
        <v>91276.7661554717</v>
      </c>
      <c r="F149" s="19">
        <v>88378</v>
      </c>
      <c r="G149" s="214">
        <f t="shared" si="10"/>
        <v>2.17187132077145</v>
      </c>
      <c r="H149" s="20">
        <v>2.2774067630505</v>
      </c>
      <c r="I149" s="76">
        <f t="shared" si="9"/>
        <v>4.44927808382195</v>
      </c>
      <c r="K149" s="53"/>
    </row>
    <row r="150" ht="15.75" spans="1:11">
      <c r="A150" s="83"/>
      <c r="B150" s="83"/>
      <c r="C150" s="101"/>
      <c r="D150" s="164" t="s">
        <v>54</v>
      </c>
      <c r="E150" s="163">
        <v>119786.986233472</v>
      </c>
      <c r="F150" s="19">
        <v>76808</v>
      </c>
      <c r="G150" s="214">
        <f t="shared" si="10"/>
        <v>2.85025347588441</v>
      </c>
      <c r="H150" s="20">
        <v>2.02643449034</v>
      </c>
      <c r="I150" s="76">
        <f t="shared" si="9"/>
        <v>4.87668796622441</v>
      </c>
      <c r="K150" s="53"/>
    </row>
    <row r="151" ht="15.75" spans="1:11">
      <c r="A151" s="83"/>
      <c r="B151" s="83"/>
      <c r="C151" s="101"/>
      <c r="D151" s="164" t="s">
        <v>53</v>
      </c>
      <c r="E151" s="163">
        <v>161826.378393076</v>
      </c>
      <c r="F151" s="19">
        <v>118244</v>
      </c>
      <c r="G151" s="214">
        <f t="shared" si="10"/>
        <v>3.85055348671729</v>
      </c>
      <c r="H151" s="20">
        <v>3.30037088</v>
      </c>
      <c r="I151" s="76">
        <f t="shared" si="9"/>
        <v>7.15092436671729</v>
      </c>
      <c r="K151" s="53"/>
    </row>
    <row r="152" ht="15.75" spans="1:11">
      <c r="A152" s="83"/>
      <c r="B152" s="83"/>
      <c r="C152" s="101"/>
      <c r="D152" s="164" t="s">
        <v>51</v>
      </c>
      <c r="E152" s="163">
        <v>119284.969437064</v>
      </c>
      <c r="F152" s="19">
        <v>84944</v>
      </c>
      <c r="G152" s="214">
        <f t="shared" si="10"/>
        <v>2.8383083125248</v>
      </c>
      <c r="H152" s="20">
        <v>2.40606084002398</v>
      </c>
      <c r="I152" s="76">
        <f t="shared" si="9"/>
        <v>5.24436915254878</v>
      </c>
      <c r="K152" s="53"/>
    </row>
    <row r="153" ht="15.75" spans="1:11">
      <c r="A153" s="83"/>
      <c r="B153" s="83"/>
      <c r="C153" s="101"/>
      <c r="D153" s="164" t="s">
        <v>50</v>
      </c>
      <c r="E153" s="163">
        <v>140387.733044329</v>
      </c>
      <c r="F153" s="19">
        <v>64103</v>
      </c>
      <c r="G153" s="214">
        <f t="shared" si="10"/>
        <v>3.34043485576333</v>
      </c>
      <c r="H153" s="20">
        <v>1.9928767370754</v>
      </c>
      <c r="I153" s="76">
        <f t="shared" si="9"/>
        <v>5.33331159283873</v>
      </c>
      <c r="K153" s="53"/>
    </row>
    <row r="154" ht="15.75" spans="1:11">
      <c r="A154" s="83"/>
      <c r="B154" s="83"/>
      <c r="C154" s="101"/>
      <c r="D154" s="164" t="s">
        <v>52</v>
      </c>
      <c r="E154" s="163">
        <v>83797.0770521605</v>
      </c>
      <c r="F154" s="19">
        <v>60373</v>
      </c>
      <c r="G154" s="214">
        <f t="shared" si="10"/>
        <v>1.99389698035608</v>
      </c>
      <c r="H154" s="20">
        <v>1.59316251308405</v>
      </c>
      <c r="I154" s="76">
        <f t="shared" si="9"/>
        <v>3.58705949344012</v>
      </c>
      <c r="K154" s="53"/>
    </row>
    <row r="155" ht="15.75" spans="1:11">
      <c r="A155" s="83"/>
      <c r="B155" s="83"/>
      <c r="C155" s="99"/>
      <c r="D155" s="164" t="s">
        <v>56</v>
      </c>
      <c r="E155" s="163">
        <v>140658.605416492</v>
      </c>
      <c r="F155" s="19">
        <v>148302</v>
      </c>
      <c r="G155" s="214">
        <f t="shared" si="10"/>
        <v>3.34688008779191</v>
      </c>
      <c r="H155" s="20">
        <v>2.62215607625</v>
      </c>
      <c r="I155" s="76">
        <f t="shared" si="9"/>
        <v>5.96903616404191</v>
      </c>
      <c r="K155" s="53"/>
    </row>
    <row r="156" ht="15.75" spans="1:11">
      <c r="A156" s="83"/>
      <c r="B156" s="83"/>
      <c r="C156" s="98" t="s">
        <v>71</v>
      </c>
      <c r="D156" s="164" t="s">
        <v>72</v>
      </c>
      <c r="E156" s="163">
        <v>6006.43744012802</v>
      </c>
      <c r="F156" s="19">
        <v>4730</v>
      </c>
      <c r="G156" s="214">
        <f t="shared" si="10"/>
        <v>0.14291927470351</v>
      </c>
      <c r="H156" s="20">
        <v>0.07337198731545</v>
      </c>
      <c r="I156" s="76">
        <f t="shared" si="9"/>
        <v>0.21629126201896</v>
      </c>
      <c r="K156" s="53"/>
    </row>
    <row r="157" ht="15.75" spans="1:11">
      <c r="A157" s="83"/>
      <c r="B157" s="83"/>
      <c r="C157" s="101"/>
      <c r="D157" s="164" t="s">
        <v>70</v>
      </c>
      <c r="E157" s="163">
        <v>26408.6579981408</v>
      </c>
      <c r="F157" s="19">
        <v>39062</v>
      </c>
      <c r="G157" s="214">
        <f t="shared" si="10"/>
        <v>0.628376851438061</v>
      </c>
      <c r="H157" s="20">
        <v>0.5229362487902</v>
      </c>
      <c r="I157" s="76">
        <f t="shared" si="9"/>
        <v>1.15131310022826</v>
      </c>
      <c r="K157" s="53"/>
    </row>
    <row r="158" ht="15.75" spans="1:11">
      <c r="A158" s="83"/>
      <c r="B158" s="83"/>
      <c r="C158" s="101"/>
      <c r="D158" s="164" t="s">
        <v>73</v>
      </c>
      <c r="E158" s="163">
        <v>64633.5234923128</v>
      </c>
      <c r="F158" s="19">
        <v>156280</v>
      </c>
      <c r="G158" s="214">
        <f t="shared" si="10"/>
        <v>1.53791267970931</v>
      </c>
      <c r="H158" s="20">
        <v>2.1035309047142</v>
      </c>
      <c r="I158" s="76">
        <f t="shared" si="9"/>
        <v>3.64144358442351</v>
      </c>
      <c r="K158" s="53"/>
    </row>
    <row r="159" ht="15.75" spans="1:11">
      <c r="A159" s="83"/>
      <c r="B159" s="83"/>
      <c r="C159" s="101"/>
      <c r="D159" s="164" t="s">
        <v>71</v>
      </c>
      <c r="E159" s="163">
        <v>84747.4781583795</v>
      </c>
      <c r="F159" s="19">
        <v>115713</v>
      </c>
      <c r="G159" s="214">
        <f t="shared" si="10"/>
        <v>2.01651115691784</v>
      </c>
      <c r="H159" s="20">
        <v>1.78325160104105</v>
      </c>
      <c r="I159" s="76">
        <f t="shared" si="9"/>
        <v>3.79976275795889</v>
      </c>
      <c r="K159" s="53"/>
    </row>
    <row r="160" ht="15.75" spans="1:11">
      <c r="A160" s="83"/>
      <c r="B160" s="83"/>
      <c r="C160" s="99"/>
      <c r="D160" s="164" t="s">
        <v>69</v>
      </c>
      <c r="E160" s="163">
        <v>124043.237970762</v>
      </c>
      <c r="F160" s="19">
        <v>161377</v>
      </c>
      <c r="G160" s="214">
        <f t="shared" ref="G160:G191" si="11">E160*(65.19*365)/POWER(10,9)</f>
        <v>2.9515282194096</v>
      </c>
      <c r="H160" s="20">
        <v>2.5548271725</v>
      </c>
      <c r="I160" s="76">
        <f t="shared" ref="I160:I223" si="12">G160+H160</f>
        <v>5.5063553919096</v>
      </c>
      <c r="K160" s="53"/>
    </row>
    <row r="161" ht="15.75" spans="1:11">
      <c r="A161" s="83"/>
      <c r="B161" s="83"/>
      <c r="C161" s="98" t="s">
        <v>58</v>
      </c>
      <c r="D161" s="164" t="s">
        <v>59</v>
      </c>
      <c r="E161" s="163">
        <v>32707.9391991575</v>
      </c>
      <c r="F161" s="19">
        <v>41260</v>
      </c>
      <c r="G161" s="214">
        <f t="shared" si="11"/>
        <v>0.778264153083473</v>
      </c>
      <c r="H161" s="20">
        <v>0.994712235623846</v>
      </c>
      <c r="I161" s="76">
        <f t="shared" si="12"/>
        <v>1.77297638870732</v>
      </c>
      <c r="K161" s="53"/>
    </row>
    <row r="162" ht="15.75" spans="1:11">
      <c r="A162" s="83"/>
      <c r="B162" s="83"/>
      <c r="C162" s="99"/>
      <c r="D162" s="164" t="s">
        <v>58</v>
      </c>
      <c r="E162" s="163">
        <v>1367.9601712265</v>
      </c>
      <c r="F162" s="19">
        <v>1051</v>
      </c>
      <c r="G162" s="214">
        <f t="shared" si="11"/>
        <v>0.0325497231002233</v>
      </c>
      <c r="H162" s="20">
        <v>0.017003404842</v>
      </c>
      <c r="I162" s="76">
        <f t="shared" si="12"/>
        <v>0.0495531279422233</v>
      </c>
      <c r="K162" s="53"/>
    </row>
    <row r="163" ht="15.75" spans="1:11">
      <c r="A163" s="83"/>
      <c r="B163" s="83"/>
      <c r="C163" s="98" t="s">
        <v>45</v>
      </c>
      <c r="D163" s="164" t="s">
        <v>46</v>
      </c>
      <c r="E163" s="163">
        <v>82694.8169648685</v>
      </c>
      <c r="F163" s="19">
        <v>120861</v>
      </c>
      <c r="G163" s="214">
        <f t="shared" si="11"/>
        <v>1.96766941804802</v>
      </c>
      <c r="H163" s="20">
        <v>1.67638383831875</v>
      </c>
      <c r="I163" s="76">
        <f t="shared" si="12"/>
        <v>3.64405325636677</v>
      </c>
      <c r="K163" s="53"/>
    </row>
    <row r="164" ht="15.75" spans="1:11">
      <c r="A164" s="83"/>
      <c r="B164" s="83"/>
      <c r="C164" s="101"/>
      <c r="D164" s="164" t="s">
        <v>47</v>
      </c>
      <c r="E164" s="163">
        <v>32633.6904905276</v>
      </c>
      <c r="F164" s="19">
        <v>47421</v>
      </c>
      <c r="G164" s="214">
        <f t="shared" si="11"/>
        <v>0.776497453323285</v>
      </c>
      <c r="H164" s="20">
        <v>0.649819608456</v>
      </c>
      <c r="I164" s="76">
        <f t="shared" si="12"/>
        <v>1.42631706177929</v>
      </c>
      <c r="K164" s="53"/>
    </row>
    <row r="165" ht="15.75" spans="1:11">
      <c r="A165" s="83"/>
      <c r="B165" s="83"/>
      <c r="C165" s="101"/>
      <c r="D165" s="164" t="s">
        <v>45</v>
      </c>
      <c r="E165" s="163">
        <v>180788.032162844</v>
      </c>
      <c r="F165" s="19">
        <v>148016</v>
      </c>
      <c r="G165" s="214">
        <f t="shared" si="11"/>
        <v>4.30173371309397</v>
      </c>
      <c r="H165" s="20">
        <v>3.90539190545075</v>
      </c>
      <c r="I165" s="76">
        <f t="shared" si="12"/>
        <v>8.20712561854472</v>
      </c>
      <c r="K165" s="53"/>
    </row>
    <row r="166" ht="15.75" spans="1:11">
      <c r="A166" s="83"/>
      <c r="B166" s="83"/>
      <c r="C166" s="101"/>
      <c r="D166" s="164" t="s">
        <v>43</v>
      </c>
      <c r="E166" s="163">
        <v>1785.01521818771</v>
      </c>
      <c r="F166" s="19">
        <v>2326</v>
      </c>
      <c r="G166" s="214">
        <f t="shared" si="11"/>
        <v>0.0424732768568847</v>
      </c>
      <c r="H166" s="20">
        <v>0.0338062664346</v>
      </c>
      <c r="I166" s="76">
        <f t="shared" si="12"/>
        <v>0.0762795432914847</v>
      </c>
      <c r="K166" s="53"/>
    </row>
    <row r="167" ht="15.75" spans="1:11">
      <c r="A167" s="83"/>
      <c r="B167" s="83"/>
      <c r="C167" s="99"/>
      <c r="D167" s="164" t="s">
        <v>44</v>
      </c>
      <c r="E167" s="163">
        <v>90223.0081649325</v>
      </c>
      <c r="F167" s="19">
        <v>77657</v>
      </c>
      <c r="G167" s="214">
        <f t="shared" si="11"/>
        <v>2.14679783432926</v>
      </c>
      <c r="H167" s="20">
        <v>1.26552778762475</v>
      </c>
      <c r="I167" s="76">
        <f t="shared" si="12"/>
        <v>3.41232562195401</v>
      </c>
      <c r="K167" s="53"/>
    </row>
    <row r="168" ht="15.75" spans="1:11">
      <c r="A168" s="83"/>
      <c r="B168" s="83"/>
      <c r="C168" s="98" t="s">
        <v>60</v>
      </c>
      <c r="D168" s="164" t="s">
        <v>64</v>
      </c>
      <c r="E168" s="163">
        <v>86129.3124271452</v>
      </c>
      <c r="F168" s="19">
        <v>105326</v>
      </c>
      <c r="G168" s="214">
        <f t="shared" si="11"/>
        <v>2.04939100515084</v>
      </c>
      <c r="H168" s="20">
        <v>1.68794712405907</v>
      </c>
      <c r="I168" s="76">
        <f t="shared" si="12"/>
        <v>3.73733812920991</v>
      </c>
      <c r="K168" s="53"/>
    </row>
    <row r="169" ht="15.75" spans="1:11">
      <c r="A169" s="83"/>
      <c r="B169" s="83"/>
      <c r="C169" s="101"/>
      <c r="D169" s="164" t="s">
        <v>61</v>
      </c>
      <c r="E169" s="163">
        <v>28814.0794598554</v>
      </c>
      <c r="F169" s="19">
        <v>28752</v>
      </c>
      <c r="G169" s="214">
        <f t="shared" si="11"/>
        <v>0.68561229159561</v>
      </c>
      <c r="H169" s="20">
        <v>0.5554132891111</v>
      </c>
      <c r="I169" s="76">
        <f t="shared" si="12"/>
        <v>1.24102558070671</v>
      </c>
      <c r="K169" s="53"/>
    </row>
    <row r="170" ht="15.75" spans="1:11">
      <c r="A170" s="83"/>
      <c r="B170" s="83"/>
      <c r="C170" s="101"/>
      <c r="D170" s="164" t="s">
        <v>62</v>
      </c>
      <c r="E170" s="163">
        <v>30373.3752568622</v>
      </c>
      <c r="F170" s="19">
        <v>39093</v>
      </c>
      <c r="G170" s="214">
        <f t="shared" si="11"/>
        <v>0.722714721543119</v>
      </c>
      <c r="H170" s="20">
        <v>0.8523607016496</v>
      </c>
      <c r="I170" s="76">
        <f t="shared" si="12"/>
        <v>1.57507542319272</v>
      </c>
      <c r="K170" s="53"/>
    </row>
    <row r="171" ht="15.75" spans="1:11">
      <c r="A171" s="83"/>
      <c r="B171" s="83"/>
      <c r="C171" s="99"/>
      <c r="D171" s="164" t="s">
        <v>63</v>
      </c>
      <c r="E171" s="163">
        <v>163235.333896696</v>
      </c>
      <c r="F171" s="19">
        <v>134178</v>
      </c>
      <c r="G171" s="214">
        <f t="shared" si="11"/>
        <v>3.88407866710485</v>
      </c>
      <c r="H171" s="20">
        <v>3.3896092117</v>
      </c>
      <c r="I171" s="76">
        <f t="shared" si="12"/>
        <v>7.27368787880485</v>
      </c>
      <c r="K171" s="53"/>
    </row>
    <row r="172" ht="15.75" spans="1:11">
      <c r="A172" s="83"/>
      <c r="B172" s="83"/>
      <c r="C172" s="98" t="s">
        <v>27</v>
      </c>
      <c r="D172" s="164" t="s">
        <v>31</v>
      </c>
      <c r="E172" s="163">
        <v>81717.751742703</v>
      </c>
      <c r="F172" s="19">
        <v>107980</v>
      </c>
      <c r="G172" s="214">
        <f t="shared" si="11"/>
        <v>1.94442078617898</v>
      </c>
      <c r="H172" s="20">
        <v>1.9015063581247</v>
      </c>
      <c r="I172" s="76">
        <f t="shared" si="12"/>
        <v>3.84592714430368</v>
      </c>
      <c r="K172" s="53"/>
    </row>
    <row r="173" ht="15.75" spans="1:11">
      <c r="A173" s="83"/>
      <c r="B173" s="83"/>
      <c r="C173" s="101"/>
      <c r="D173" s="164" t="s">
        <v>30</v>
      </c>
      <c r="E173" s="163">
        <v>171854.742183224</v>
      </c>
      <c r="F173" s="19">
        <v>342580</v>
      </c>
      <c r="G173" s="214">
        <f t="shared" si="11"/>
        <v>4.0891718846674</v>
      </c>
      <c r="H173" s="20">
        <v>3.67405192426934</v>
      </c>
      <c r="I173" s="76">
        <f t="shared" si="12"/>
        <v>7.76322380893674</v>
      </c>
      <c r="K173" s="53"/>
    </row>
    <row r="174" ht="15.75" spans="1:11">
      <c r="A174" s="83"/>
      <c r="B174" s="83"/>
      <c r="C174" s="101"/>
      <c r="D174" s="164" t="s">
        <v>33</v>
      </c>
      <c r="E174" s="163">
        <v>40530.5206413959</v>
      </c>
      <c r="F174" s="19">
        <v>21117</v>
      </c>
      <c r="G174" s="214">
        <f t="shared" si="11"/>
        <v>0.964397393823598</v>
      </c>
      <c r="H174" s="20">
        <v>0.55673728872775</v>
      </c>
      <c r="I174" s="76">
        <f t="shared" si="12"/>
        <v>1.52113468255135</v>
      </c>
      <c r="K174" s="53"/>
    </row>
    <row r="175" ht="15.75" spans="1:11">
      <c r="A175" s="83"/>
      <c r="B175" s="83"/>
      <c r="C175" s="101"/>
      <c r="D175" s="164" t="s">
        <v>35</v>
      </c>
      <c r="E175" s="163">
        <v>166844.866947199</v>
      </c>
      <c r="F175" s="19">
        <v>157622</v>
      </c>
      <c r="G175" s="214">
        <f t="shared" si="11"/>
        <v>3.96996515984508</v>
      </c>
      <c r="H175" s="20">
        <v>3.692311496566</v>
      </c>
      <c r="I175" s="76">
        <f t="shared" si="12"/>
        <v>7.66227665641108</v>
      </c>
      <c r="K175" s="53"/>
    </row>
    <row r="176" ht="15.75" spans="1:11">
      <c r="A176" s="83"/>
      <c r="B176" s="83"/>
      <c r="C176" s="101"/>
      <c r="D176" s="164" t="s">
        <v>41</v>
      </c>
      <c r="E176" s="163">
        <v>98018.6238316744</v>
      </c>
      <c r="F176" s="19">
        <v>108612</v>
      </c>
      <c r="G176" s="214">
        <f t="shared" si="11"/>
        <v>2.3322894419692</v>
      </c>
      <c r="H176" s="20">
        <v>2.3592271797485</v>
      </c>
      <c r="I176" s="76">
        <f t="shared" si="12"/>
        <v>4.6915166217177</v>
      </c>
      <c r="K176" s="53"/>
    </row>
    <row r="177" ht="15.75" spans="1:11">
      <c r="A177" s="83"/>
      <c r="B177" s="83"/>
      <c r="C177" s="101"/>
      <c r="D177" s="164" t="s">
        <v>42</v>
      </c>
      <c r="E177" s="163">
        <v>4745.45289843852</v>
      </c>
      <c r="F177" s="19">
        <v>4727</v>
      </c>
      <c r="G177" s="214">
        <f t="shared" si="11"/>
        <v>0.112914967173961</v>
      </c>
      <c r="H177" s="20">
        <v>0.072460802901375</v>
      </c>
      <c r="I177" s="76">
        <f t="shared" si="12"/>
        <v>0.185375770075336</v>
      </c>
      <c r="K177" s="53"/>
    </row>
    <row r="178" ht="15.75" spans="1:11">
      <c r="A178" s="83"/>
      <c r="B178" s="83"/>
      <c r="C178" s="101"/>
      <c r="D178" s="164" t="s">
        <v>34</v>
      </c>
      <c r="E178" s="163">
        <v>202645.281060652</v>
      </c>
      <c r="F178" s="19">
        <v>103923</v>
      </c>
      <c r="G178" s="214">
        <f t="shared" si="11"/>
        <v>4.82181274340552</v>
      </c>
      <c r="H178" s="20">
        <v>2.11149737289085</v>
      </c>
      <c r="I178" s="76">
        <f t="shared" si="12"/>
        <v>6.93331011629637</v>
      </c>
      <c r="K178" s="53"/>
    </row>
    <row r="179" ht="15.75" spans="1:11">
      <c r="A179" s="83"/>
      <c r="B179" s="83"/>
      <c r="C179" s="101"/>
      <c r="D179" s="164" t="s">
        <v>32</v>
      </c>
      <c r="E179" s="163">
        <v>78407.9835965822</v>
      </c>
      <c r="F179" s="19">
        <v>78238</v>
      </c>
      <c r="G179" s="214">
        <f t="shared" si="11"/>
        <v>1.86566700449134</v>
      </c>
      <c r="H179" s="20">
        <v>2.08157416547332</v>
      </c>
      <c r="I179" s="76">
        <f t="shared" si="12"/>
        <v>3.94724116996466</v>
      </c>
      <c r="K179" s="53"/>
    </row>
    <row r="180" ht="15.75" spans="1:11">
      <c r="A180" s="83"/>
      <c r="B180" s="83"/>
      <c r="C180" s="101"/>
      <c r="D180" s="164" t="s">
        <v>40</v>
      </c>
      <c r="E180" s="163">
        <v>58167.1732002056</v>
      </c>
      <c r="F180" s="19">
        <v>132818</v>
      </c>
      <c r="G180" s="214">
        <f t="shared" si="11"/>
        <v>1.38405007763631</v>
      </c>
      <c r="H180" s="20">
        <v>2.3881717812915</v>
      </c>
      <c r="I180" s="76">
        <f t="shared" si="12"/>
        <v>3.77222185892781</v>
      </c>
      <c r="K180" s="53"/>
    </row>
    <row r="181" ht="15.75" spans="1:11">
      <c r="A181" s="84"/>
      <c r="B181" s="84"/>
      <c r="C181" s="99"/>
      <c r="D181" s="164" t="s">
        <v>28</v>
      </c>
      <c r="E181" s="163">
        <v>19997.9747811509</v>
      </c>
      <c r="F181" s="19">
        <v>94538</v>
      </c>
      <c r="G181" s="214">
        <f t="shared" si="11"/>
        <v>0.475838811233878</v>
      </c>
      <c r="H181" s="20">
        <v>0.385051152143624</v>
      </c>
      <c r="I181" s="76">
        <f t="shared" si="12"/>
        <v>0.860889963377502</v>
      </c>
      <c r="K181" s="53"/>
    </row>
    <row r="182" ht="15.75" spans="1:11">
      <c r="A182" s="70">
        <v>5</v>
      </c>
      <c r="B182" s="70">
        <v>2021</v>
      </c>
      <c r="C182" s="98" t="s">
        <v>78</v>
      </c>
      <c r="D182" s="164" t="s">
        <v>67</v>
      </c>
      <c r="E182" s="163">
        <v>362.183871918858</v>
      </c>
      <c r="F182" s="19">
        <v>272</v>
      </c>
      <c r="G182" s="214">
        <f t="shared" si="11"/>
        <v>0.00861792981279248</v>
      </c>
      <c r="H182" s="20">
        <v>0.00525293504025</v>
      </c>
      <c r="I182" s="76">
        <f t="shared" si="12"/>
        <v>0.0138708648530425</v>
      </c>
      <c r="K182" s="53"/>
    </row>
    <row r="183" ht="15.75" spans="1:11">
      <c r="A183" s="83"/>
      <c r="B183" s="83"/>
      <c r="C183" s="99"/>
      <c r="D183" s="164" t="s">
        <v>66</v>
      </c>
      <c r="E183" s="163">
        <v>10288.7048059913</v>
      </c>
      <c r="F183" s="19">
        <v>9791</v>
      </c>
      <c r="G183" s="214">
        <f t="shared" si="11"/>
        <v>0.244813043200439</v>
      </c>
      <c r="H183" s="20">
        <v>0.179508641899054</v>
      </c>
      <c r="I183" s="76">
        <f t="shared" si="12"/>
        <v>0.424321685099493</v>
      </c>
      <c r="K183" s="53"/>
    </row>
    <row r="184" ht="15.75" spans="1:11">
      <c r="A184" s="83"/>
      <c r="B184" s="83"/>
      <c r="C184" s="98" t="s">
        <v>79</v>
      </c>
      <c r="D184" s="164" t="s">
        <v>33</v>
      </c>
      <c r="E184" s="163">
        <v>50001.6603704053</v>
      </c>
      <c r="F184" s="19">
        <v>16366</v>
      </c>
      <c r="G184" s="214">
        <f t="shared" si="11"/>
        <v>1.18975700743455</v>
      </c>
      <c r="H184" s="20">
        <v>0.554969973319928</v>
      </c>
      <c r="I184" s="76">
        <f t="shared" si="12"/>
        <v>1.74472698075448</v>
      </c>
      <c r="K184" s="53"/>
    </row>
    <row r="185" ht="15.75" spans="1:11">
      <c r="A185" s="83"/>
      <c r="B185" s="83"/>
      <c r="C185" s="101"/>
      <c r="D185" s="164" t="s">
        <v>35</v>
      </c>
      <c r="E185" s="163">
        <v>205833.042349785</v>
      </c>
      <c r="F185" s="19">
        <v>117694</v>
      </c>
      <c r="G185" s="214">
        <f t="shared" si="11"/>
        <v>4.89766345123561</v>
      </c>
      <c r="H185" s="20">
        <v>3.19329904312572</v>
      </c>
      <c r="I185" s="76">
        <f t="shared" si="12"/>
        <v>8.09096249436133</v>
      </c>
      <c r="K185" s="53"/>
    </row>
    <row r="186" ht="15.75" spans="1:11">
      <c r="A186" s="83"/>
      <c r="B186" s="83"/>
      <c r="C186" s="101"/>
      <c r="D186" s="164" t="s">
        <v>34</v>
      </c>
      <c r="E186" s="163">
        <v>249999.268672386</v>
      </c>
      <c r="F186" s="19">
        <v>127061</v>
      </c>
      <c r="G186" s="214">
        <f t="shared" si="11"/>
        <v>5.94857009853479</v>
      </c>
      <c r="H186" s="20">
        <v>1.875961248535</v>
      </c>
      <c r="I186" s="76">
        <f t="shared" si="12"/>
        <v>7.82453134706979</v>
      </c>
      <c r="K186" s="53"/>
    </row>
    <row r="187" ht="15.75" spans="1:11">
      <c r="A187" s="83"/>
      <c r="B187" s="83"/>
      <c r="C187" s="99"/>
      <c r="D187" s="164" t="s">
        <v>32</v>
      </c>
      <c r="E187" s="163">
        <v>96730.298651046</v>
      </c>
      <c r="F187" s="19">
        <v>60237</v>
      </c>
      <c r="G187" s="214">
        <f t="shared" si="11"/>
        <v>2.30163458170752</v>
      </c>
      <c r="H187" s="20">
        <v>1.770089803033</v>
      </c>
      <c r="I187" s="76">
        <f t="shared" si="12"/>
        <v>4.07172438474052</v>
      </c>
      <c r="K187" s="53"/>
    </row>
    <row r="188" ht="15.75" spans="1:11">
      <c r="A188" s="83"/>
      <c r="B188" s="83"/>
      <c r="C188" s="98" t="s">
        <v>37</v>
      </c>
      <c r="D188" s="164" t="s">
        <v>37</v>
      </c>
      <c r="E188" s="163">
        <v>76341.7982813901</v>
      </c>
      <c r="F188" s="19">
        <v>174375</v>
      </c>
      <c r="G188" s="214">
        <f t="shared" si="11"/>
        <v>1.81650346793679</v>
      </c>
      <c r="H188" s="20">
        <v>1.54694260435304</v>
      </c>
      <c r="I188" s="76">
        <f t="shared" si="12"/>
        <v>3.36344607228983</v>
      </c>
      <c r="K188" s="53"/>
    </row>
    <row r="189" ht="15.75" spans="1:11">
      <c r="A189" s="83"/>
      <c r="B189" s="83"/>
      <c r="C189" s="101"/>
      <c r="D189" s="164" t="s">
        <v>39</v>
      </c>
      <c r="E189" s="163">
        <v>49555.9895396976</v>
      </c>
      <c r="F189" s="19">
        <v>48610</v>
      </c>
      <c r="G189" s="214">
        <f t="shared" si="11"/>
        <v>1.1791525597039</v>
      </c>
      <c r="H189" s="20">
        <v>1.60369883794382</v>
      </c>
      <c r="I189" s="76">
        <f t="shared" si="12"/>
        <v>2.78285139764772</v>
      </c>
      <c r="K189" s="53"/>
    </row>
    <row r="190" ht="15.75" spans="1:11">
      <c r="A190" s="83"/>
      <c r="B190" s="83"/>
      <c r="C190" s="101"/>
      <c r="D190" s="164" t="s">
        <v>36</v>
      </c>
      <c r="E190" s="163">
        <v>90730.4127182045</v>
      </c>
      <c r="F190" s="19">
        <v>74075</v>
      </c>
      <c r="G190" s="214">
        <f t="shared" si="11"/>
        <v>2.15887119586141</v>
      </c>
      <c r="H190" s="20">
        <v>1.63349858442186</v>
      </c>
      <c r="I190" s="76">
        <f t="shared" si="12"/>
        <v>3.79236978028327</v>
      </c>
      <c r="K190" s="53"/>
    </row>
    <row r="191" ht="15.75" spans="1:11">
      <c r="A191" s="83"/>
      <c r="B191" s="83"/>
      <c r="C191" s="99"/>
      <c r="D191" s="164" t="s">
        <v>38</v>
      </c>
      <c r="E191" s="163">
        <v>204079.147506849</v>
      </c>
      <c r="F191" s="19">
        <v>101633</v>
      </c>
      <c r="G191" s="214">
        <f t="shared" si="11"/>
        <v>4.85593066347959</v>
      </c>
      <c r="H191" s="20">
        <v>1.88101012157568</v>
      </c>
      <c r="I191" s="76">
        <f t="shared" si="12"/>
        <v>6.73694078505527</v>
      </c>
      <c r="K191" s="53"/>
    </row>
    <row r="192" ht="15.75" spans="1:11">
      <c r="A192" s="83"/>
      <c r="B192" s="83"/>
      <c r="C192" s="98" t="s">
        <v>42</v>
      </c>
      <c r="D192" s="164" t="s">
        <v>41</v>
      </c>
      <c r="E192" s="163">
        <v>108005.535107062</v>
      </c>
      <c r="F192" s="19">
        <v>169513</v>
      </c>
      <c r="G192" s="214">
        <f t="shared" ref="G192:G224" si="13">E192*(65.19*365)/POWER(10,9)</f>
        <v>2.56992150427472</v>
      </c>
      <c r="H192" s="20">
        <v>2.01175052956468</v>
      </c>
      <c r="I192" s="76">
        <f t="shared" si="12"/>
        <v>4.5816720338394</v>
      </c>
      <c r="K192" s="53"/>
    </row>
    <row r="193" ht="15.75" spans="1:11">
      <c r="A193" s="83"/>
      <c r="B193" s="83"/>
      <c r="C193" s="101"/>
      <c r="D193" s="164" t="s">
        <v>42</v>
      </c>
      <c r="E193" s="163">
        <v>5228.95710616562</v>
      </c>
      <c r="F193" s="19">
        <v>4582</v>
      </c>
      <c r="G193" s="214">
        <f t="shared" si="13"/>
        <v>0.124419635519092</v>
      </c>
      <c r="H193" s="20">
        <v>0.0987133646925</v>
      </c>
      <c r="I193" s="76">
        <f t="shared" si="12"/>
        <v>0.223133000211592</v>
      </c>
      <c r="K193" s="53"/>
    </row>
    <row r="194" ht="15.75" spans="1:11">
      <c r="A194" s="83"/>
      <c r="B194" s="83"/>
      <c r="C194" s="99"/>
      <c r="D194" s="164" t="s">
        <v>40</v>
      </c>
      <c r="E194" s="163">
        <v>64093.7040489566</v>
      </c>
      <c r="F194" s="19">
        <v>87121</v>
      </c>
      <c r="G194" s="214">
        <f t="shared" si="13"/>
        <v>1.52506802693729</v>
      </c>
      <c r="H194" s="20">
        <v>1.76682826750643</v>
      </c>
      <c r="I194" s="76">
        <f t="shared" si="12"/>
        <v>3.29189629444372</v>
      </c>
      <c r="K194" s="53"/>
    </row>
    <row r="195" ht="15.75" spans="1:11">
      <c r="A195" s="83"/>
      <c r="B195" s="83"/>
      <c r="C195" s="98" t="s">
        <v>76</v>
      </c>
      <c r="D195" s="164" t="s">
        <v>57</v>
      </c>
      <c r="E195" s="163">
        <v>60375.5839315402</v>
      </c>
      <c r="F195" s="19">
        <v>27647</v>
      </c>
      <c r="G195" s="214">
        <f t="shared" si="13"/>
        <v>1.43659777552144</v>
      </c>
      <c r="H195" s="20">
        <v>0.862253706677304</v>
      </c>
      <c r="I195" s="76">
        <f t="shared" si="12"/>
        <v>2.29885148219875</v>
      </c>
      <c r="K195" s="53"/>
    </row>
    <row r="196" ht="15.75" spans="1:11">
      <c r="A196" s="83"/>
      <c r="B196" s="83"/>
      <c r="C196" s="101"/>
      <c r="D196" s="164" t="s">
        <v>77</v>
      </c>
      <c r="E196" s="163">
        <v>23776.390947653</v>
      </c>
      <c r="F196" s="19">
        <v>25315</v>
      </c>
      <c r="G196" s="214">
        <f t="shared" si="13"/>
        <v>0.565743767945287</v>
      </c>
      <c r="H196" s="20">
        <v>0.43249844844</v>
      </c>
      <c r="I196" s="76">
        <f t="shared" si="12"/>
        <v>0.998242216385287</v>
      </c>
      <c r="K196" s="53"/>
    </row>
    <row r="197" ht="15.75" spans="1:11">
      <c r="A197" s="83"/>
      <c r="B197" s="83"/>
      <c r="C197" s="101"/>
      <c r="D197" s="164" t="s">
        <v>49</v>
      </c>
      <c r="E197" s="163">
        <v>104979.162896582</v>
      </c>
      <c r="F197" s="19">
        <v>124458</v>
      </c>
      <c r="G197" s="214">
        <f t="shared" si="13"/>
        <v>2.49791094466829</v>
      </c>
      <c r="H197" s="20">
        <v>1.65219082300521</v>
      </c>
      <c r="I197" s="76">
        <f t="shared" si="12"/>
        <v>4.1501017676735</v>
      </c>
      <c r="K197" s="53"/>
    </row>
    <row r="198" ht="15.75" spans="1:11">
      <c r="A198" s="83"/>
      <c r="B198" s="83"/>
      <c r="C198" s="101"/>
      <c r="D198" s="164" t="s">
        <v>54</v>
      </c>
      <c r="E198" s="163">
        <v>137769.31491279</v>
      </c>
      <c r="F198" s="19">
        <v>63187</v>
      </c>
      <c r="G198" s="214">
        <f t="shared" si="13"/>
        <v>3.27813129829514</v>
      </c>
      <c r="H198" s="20">
        <v>1.48410684214286</v>
      </c>
      <c r="I198" s="76">
        <f t="shared" si="12"/>
        <v>4.762238140438</v>
      </c>
      <c r="K198" s="53"/>
    </row>
    <row r="199" ht="15.75" spans="1:11">
      <c r="A199" s="83"/>
      <c r="B199" s="83"/>
      <c r="C199" s="101"/>
      <c r="D199" s="164" t="s">
        <v>53</v>
      </c>
      <c r="E199" s="163">
        <v>186119.62774135</v>
      </c>
      <c r="F199" s="19">
        <v>80097</v>
      </c>
      <c r="G199" s="214">
        <f t="shared" si="13"/>
        <v>4.42859556434739</v>
      </c>
      <c r="H199" s="20">
        <v>2.67853389803571</v>
      </c>
      <c r="I199" s="76">
        <f t="shared" si="12"/>
        <v>7.1071294623831</v>
      </c>
      <c r="K199" s="53"/>
    </row>
    <row r="200" ht="15.75" spans="1:11">
      <c r="A200" s="83"/>
      <c r="B200" s="83"/>
      <c r="C200" s="101"/>
      <c r="D200" s="164" t="s">
        <v>51</v>
      </c>
      <c r="E200" s="163">
        <v>137191.935747569</v>
      </c>
      <c r="F200" s="19">
        <v>56889</v>
      </c>
      <c r="G200" s="214">
        <f t="shared" si="13"/>
        <v>3.26439293635517</v>
      </c>
      <c r="H200" s="20">
        <v>1.77733477624959</v>
      </c>
      <c r="I200" s="76">
        <f t="shared" si="12"/>
        <v>5.04172771260476</v>
      </c>
      <c r="K200" s="53"/>
    </row>
    <row r="201" ht="15.75" spans="1:11">
      <c r="A201" s="83"/>
      <c r="B201" s="83"/>
      <c r="C201" s="101"/>
      <c r="D201" s="164" t="s">
        <v>50</v>
      </c>
      <c r="E201" s="163">
        <v>161462.629721562</v>
      </c>
      <c r="F201" s="19">
        <v>79886</v>
      </c>
      <c r="G201" s="214">
        <f t="shared" si="13"/>
        <v>3.84189832351525</v>
      </c>
      <c r="H201" s="20">
        <v>2.49637074285343</v>
      </c>
      <c r="I201" s="76">
        <f t="shared" si="12"/>
        <v>6.33826906636868</v>
      </c>
      <c r="K201" s="53"/>
    </row>
    <row r="202" ht="15.75" spans="1:11">
      <c r="A202" s="83"/>
      <c r="B202" s="83"/>
      <c r="C202" s="101"/>
      <c r="D202" s="164" t="s">
        <v>52</v>
      </c>
      <c r="E202" s="163">
        <v>96376.6287154866</v>
      </c>
      <c r="F202" s="19">
        <v>47497</v>
      </c>
      <c r="G202" s="214">
        <f t="shared" si="13"/>
        <v>2.29321923547634</v>
      </c>
      <c r="H202" s="20">
        <v>1.14267734360279</v>
      </c>
      <c r="I202" s="76">
        <f t="shared" si="12"/>
        <v>3.43589657907913</v>
      </c>
      <c r="K202" s="53"/>
    </row>
    <row r="203" ht="15.75" spans="1:11">
      <c r="A203" s="83"/>
      <c r="B203" s="83"/>
      <c r="C203" s="99"/>
      <c r="D203" s="164" t="s">
        <v>56</v>
      </c>
      <c r="E203" s="163">
        <v>161774.165242364</v>
      </c>
      <c r="F203" s="19">
        <v>189111</v>
      </c>
      <c r="G203" s="214">
        <f t="shared" si="13"/>
        <v>3.84931110873464</v>
      </c>
      <c r="H203" s="20">
        <v>2.09961193446429</v>
      </c>
      <c r="I203" s="76">
        <f t="shared" si="12"/>
        <v>5.94892304319893</v>
      </c>
      <c r="K203" s="53"/>
    </row>
    <row r="204" ht="15.75" spans="1:11">
      <c r="A204" s="83"/>
      <c r="B204" s="83"/>
      <c r="C204" s="98" t="s">
        <v>71</v>
      </c>
      <c r="D204" s="164" t="s">
        <v>72</v>
      </c>
      <c r="E204" s="163">
        <v>6402.41881405658</v>
      </c>
      <c r="F204" s="19">
        <v>8794</v>
      </c>
      <c r="G204" s="214">
        <f t="shared" si="13"/>
        <v>0.152341394108247</v>
      </c>
      <c r="H204" s="20">
        <v>0.0944957267834464</v>
      </c>
      <c r="I204" s="76">
        <f t="shared" si="12"/>
        <v>0.246837120891694</v>
      </c>
      <c r="K204" s="53"/>
    </row>
    <row r="205" ht="15.75" spans="1:11">
      <c r="A205" s="83"/>
      <c r="B205" s="83"/>
      <c r="C205" s="101"/>
      <c r="D205" s="164" t="s">
        <v>70</v>
      </c>
      <c r="E205" s="163">
        <v>28149.6794908229</v>
      </c>
      <c r="F205" s="19">
        <v>54480</v>
      </c>
      <c r="G205" s="214">
        <f t="shared" si="13"/>
        <v>0.669803326192462</v>
      </c>
      <c r="H205" s="20">
        <v>0.514234489402</v>
      </c>
      <c r="I205" s="76">
        <f t="shared" si="12"/>
        <v>1.18403781559446</v>
      </c>
      <c r="K205" s="53"/>
    </row>
    <row r="206" ht="15.75" spans="1:11">
      <c r="A206" s="83"/>
      <c r="B206" s="83"/>
      <c r="C206" s="101"/>
      <c r="D206" s="164" t="s">
        <v>73</v>
      </c>
      <c r="E206" s="163">
        <v>68894.5636994983</v>
      </c>
      <c r="F206" s="19">
        <v>164378</v>
      </c>
      <c r="G206" s="214">
        <f t="shared" si="13"/>
        <v>1.63930136176316</v>
      </c>
      <c r="H206" s="20">
        <v>1.9512945577915</v>
      </c>
      <c r="I206" s="76">
        <f t="shared" si="12"/>
        <v>3.59059591955466</v>
      </c>
      <c r="K206" s="53"/>
    </row>
    <row r="207" ht="15.75" spans="1:11">
      <c r="A207" s="83"/>
      <c r="B207" s="83"/>
      <c r="C207" s="101"/>
      <c r="D207" s="164" t="s">
        <v>71</v>
      </c>
      <c r="E207" s="163">
        <v>90334.5542201291</v>
      </c>
      <c r="F207" s="19">
        <v>158930</v>
      </c>
      <c r="G207" s="214">
        <f t="shared" si="13"/>
        <v>2.14945200020773</v>
      </c>
      <c r="H207" s="20">
        <v>1.37255282402175</v>
      </c>
      <c r="I207" s="76">
        <f t="shared" si="12"/>
        <v>3.52200482422948</v>
      </c>
      <c r="K207" s="53"/>
    </row>
    <row r="208" ht="15.75" spans="1:11">
      <c r="A208" s="83"/>
      <c r="B208" s="83"/>
      <c r="C208" s="99"/>
      <c r="D208" s="164" t="s">
        <v>69</v>
      </c>
      <c r="E208" s="163">
        <v>132220.932700429</v>
      </c>
      <c r="F208" s="19">
        <v>197145</v>
      </c>
      <c r="G208" s="214">
        <f t="shared" si="13"/>
        <v>3.14611115000045</v>
      </c>
      <c r="H208" s="20">
        <v>2.05402245678571</v>
      </c>
      <c r="I208" s="76">
        <f t="shared" si="12"/>
        <v>5.20013360678616</v>
      </c>
      <c r="K208" s="53"/>
    </row>
    <row r="209" ht="15.75" spans="1:11">
      <c r="A209" s="83"/>
      <c r="B209" s="83"/>
      <c r="C209" s="98" t="s">
        <v>80</v>
      </c>
      <c r="D209" s="164" t="s">
        <v>74</v>
      </c>
      <c r="E209" s="163">
        <v>9174.02287783686</v>
      </c>
      <c r="F209" s="19">
        <v>25195</v>
      </c>
      <c r="G209" s="214">
        <f t="shared" si="13"/>
        <v>0.218289911263257</v>
      </c>
      <c r="H209" s="20">
        <v>0.273465329416393</v>
      </c>
      <c r="I209" s="76">
        <f t="shared" si="12"/>
        <v>0.49175524067965</v>
      </c>
      <c r="K209" s="53"/>
    </row>
    <row r="210" ht="15.75" spans="1:11">
      <c r="A210" s="83"/>
      <c r="B210" s="83"/>
      <c r="C210" s="99"/>
      <c r="D210" s="164" t="s">
        <v>75</v>
      </c>
      <c r="E210" s="163">
        <v>31618.5598804956</v>
      </c>
      <c r="F210" s="19">
        <v>69487</v>
      </c>
      <c r="G210" s="214">
        <f t="shared" si="13"/>
        <v>0.75234308029247</v>
      </c>
      <c r="H210" s="20">
        <v>0.617352554066857</v>
      </c>
      <c r="I210" s="76">
        <f t="shared" si="12"/>
        <v>1.36969563435933</v>
      </c>
      <c r="K210" s="53"/>
    </row>
    <row r="211" ht="15.75" spans="1:11">
      <c r="A211" s="83"/>
      <c r="B211" s="83"/>
      <c r="C211" s="98" t="s">
        <v>58</v>
      </c>
      <c r="D211" s="164" t="s">
        <v>59</v>
      </c>
      <c r="E211" s="163">
        <v>35598.2123341287</v>
      </c>
      <c r="F211" s="19">
        <v>52441</v>
      </c>
      <c r="G211" s="214">
        <f t="shared" si="13"/>
        <v>0.847036323652575</v>
      </c>
      <c r="H211" s="20">
        <v>1.02025515657064</v>
      </c>
      <c r="I211" s="76">
        <f t="shared" si="12"/>
        <v>1.86729148022322</v>
      </c>
      <c r="K211" s="53"/>
    </row>
    <row r="212" ht="15.75" spans="1:11">
      <c r="A212" s="83"/>
      <c r="B212" s="83"/>
      <c r="C212" s="99"/>
      <c r="D212" s="164" t="s">
        <v>58</v>
      </c>
      <c r="E212" s="163">
        <v>1488.84148106789</v>
      </c>
      <c r="F212" s="19">
        <v>578</v>
      </c>
      <c r="G212" s="214">
        <f t="shared" si="13"/>
        <v>0.0354260152950477</v>
      </c>
      <c r="H212" s="20">
        <v>0.0115622448471429</v>
      </c>
      <c r="I212" s="76">
        <f t="shared" si="12"/>
        <v>0.0469882601421907</v>
      </c>
      <c r="K212" s="53"/>
    </row>
    <row r="213" ht="15.75" spans="1:11">
      <c r="A213" s="83"/>
      <c r="B213" s="83"/>
      <c r="C213" s="98" t="s">
        <v>45</v>
      </c>
      <c r="D213" s="164" t="s">
        <v>46</v>
      </c>
      <c r="E213" s="163">
        <v>93956.2297276812</v>
      </c>
      <c r="F213" s="19">
        <v>282890</v>
      </c>
      <c r="G213" s="214">
        <f t="shared" si="13"/>
        <v>2.23562741482085</v>
      </c>
      <c r="H213" s="20">
        <v>1.40727793902232</v>
      </c>
      <c r="I213" s="76">
        <f t="shared" si="12"/>
        <v>3.64290535384317</v>
      </c>
      <c r="K213" s="53"/>
    </row>
    <row r="214" ht="15.75" spans="1:11">
      <c r="A214" s="83"/>
      <c r="B214" s="83"/>
      <c r="C214" s="101"/>
      <c r="D214" s="164" t="s">
        <v>47</v>
      </c>
      <c r="E214" s="163">
        <v>37077.7593218769</v>
      </c>
      <c r="F214" s="19">
        <v>40083</v>
      </c>
      <c r="G214" s="214">
        <f t="shared" si="13"/>
        <v>0.882241182520502</v>
      </c>
      <c r="H214" s="20">
        <v>0.390925972056429</v>
      </c>
      <c r="I214" s="76">
        <f t="shared" si="12"/>
        <v>1.27316715457693</v>
      </c>
      <c r="K214" s="53"/>
    </row>
    <row r="215" ht="15.75" spans="1:11">
      <c r="A215" s="83"/>
      <c r="B215" s="83"/>
      <c r="C215" s="101"/>
      <c r="D215" s="164" t="s">
        <v>45</v>
      </c>
      <c r="E215" s="163">
        <v>205407.817628085</v>
      </c>
      <c r="F215" s="19">
        <v>458689</v>
      </c>
      <c r="G215" s="214">
        <f t="shared" si="13"/>
        <v>4.88754550537882</v>
      </c>
      <c r="H215" s="20">
        <v>3.30853993317139</v>
      </c>
      <c r="I215" s="76">
        <f t="shared" si="12"/>
        <v>8.19608543855021</v>
      </c>
      <c r="K215" s="53"/>
    </row>
    <row r="216" ht="15.75" spans="1:11">
      <c r="A216" s="83"/>
      <c r="B216" s="83"/>
      <c r="C216" s="101"/>
      <c r="D216" s="164" t="s">
        <v>43</v>
      </c>
      <c r="E216" s="163">
        <v>2028.09929404284</v>
      </c>
      <c r="F216" s="19">
        <v>1918</v>
      </c>
      <c r="G216" s="214">
        <f t="shared" si="13"/>
        <v>0.0482573044372082</v>
      </c>
      <c r="H216" s="20">
        <v>0.0246347974148571</v>
      </c>
      <c r="I216" s="76">
        <f t="shared" si="12"/>
        <v>0.0728921018520653</v>
      </c>
      <c r="K216" s="53"/>
    </row>
    <row r="217" ht="15.75" spans="1:11">
      <c r="A217" s="83"/>
      <c r="B217" s="83"/>
      <c r="C217" s="99"/>
      <c r="D217" s="164" t="s">
        <v>44</v>
      </c>
      <c r="E217" s="163">
        <v>102509.612972094</v>
      </c>
      <c r="F217" s="19">
        <v>84795</v>
      </c>
      <c r="G217" s="214">
        <f t="shared" si="13"/>
        <v>2.43914960942254</v>
      </c>
      <c r="H217" s="20">
        <v>0.863080306348036</v>
      </c>
      <c r="I217" s="76">
        <f t="shared" si="12"/>
        <v>3.30222991577058</v>
      </c>
      <c r="K217" s="53"/>
    </row>
    <row r="218" ht="15.75" spans="1:11">
      <c r="A218" s="83"/>
      <c r="B218" s="83"/>
      <c r="C218" s="98" t="s">
        <v>60</v>
      </c>
      <c r="D218" s="164" t="s">
        <v>64</v>
      </c>
      <c r="E218" s="163">
        <v>98327.8160358044</v>
      </c>
      <c r="F218" s="19">
        <v>37525</v>
      </c>
      <c r="G218" s="214">
        <f t="shared" si="13"/>
        <v>2.33964646949154</v>
      </c>
      <c r="H218" s="20">
        <v>0.996009489477857</v>
      </c>
      <c r="I218" s="76">
        <f t="shared" si="12"/>
        <v>3.3356559589694</v>
      </c>
      <c r="K218" s="53"/>
    </row>
    <row r="219" ht="15.75" spans="1:11">
      <c r="A219" s="83"/>
      <c r="B219" s="83"/>
      <c r="C219" s="101"/>
      <c r="D219" s="164" t="s">
        <v>61</v>
      </c>
      <c r="E219" s="163">
        <v>32895.0205746304</v>
      </c>
      <c r="F219" s="19">
        <v>15856</v>
      </c>
      <c r="G219" s="214">
        <f t="shared" si="13"/>
        <v>0.782715632809957</v>
      </c>
      <c r="H219" s="20">
        <v>0.435470293158625</v>
      </c>
      <c r="I219" s="76">
        <f t="shared" si="12"/>
        <v>1.21818592596858</v>
      </c>
      <c r="K219" s="53"/>
    </row>
    <row r="220" ht="15.75" spans="1:11">
      <c r="A220" s="83"/>
      <c r="B220" s="83"/>
      <c r="C220" s="101"/>
      <c r="D220" s="164" t="s">
        <v>62</v>
      </c>
      <c r="E220" s="163">
        <v>34675.1595999267</v>
      </c>
      <c r="F220" s="19">
        <v>21283</v>
      </c>
      <c r="G220" s="214">
        <f t="shared" si="13"/>
        <v>0.825072883826516</v>
      </c>
      <c r="H220" s="20">
        <v>0.5272328864475</v>
      </c>
      <c r="I220" s="76">
        <f t="shared" si="12"/>
        <v>1.35230577027402</v>
      </c>
      <c r="K220" s="53"/>
    </row>
    <row r="221" ht="15.75" spans="1:11">
      <c r="A221" s="83"/>
      <c r="B221" s="83"/>
      <c r="C221" s="99"/>
      <c r="D221" s="164" t="s">
        <v>63</v>
      </c>
      <c r="E221" s="163">
        <v>186354.371463424</v>
      </c>
      <c r="F221" s="19">
        <v>79074</v>
      </c>
      <c r="G221" s="214">
        <f t="shared" si="13"/>
        <v>4.43418113863072</v>
      </c>
      <c r="H221" s="20">
        <v>2.01413978017857</v>
      </c>
      <c r="I221" s="76">
        <f t="shared" si="12"/>
        <v>6.44832091880929</v>
      </c>
      <c r="K221" s="53"/>
    </row>
    <row r="222" ht="15.75" spans="1:11">
      <c r="A222" s="83"/>
      <c r="B222" s="83"/>
      <c r="C222" s="100" t="s">
        <v>27</v>
      </c>
      <c r="D222" s="164" t="s">
        <v>31</v>
      </c>
      <c r="E222" s="163">
        <v>88405.0342154997</v>
      </c>
      <c r="F222" s="19">
        <v>97834</v>
      </c>
      <c r="G222" s="214">
        <f t="shared" si="13"/>
        <v>2.10354032588558</v>
      </c>
      <c r="H222" s="20">
        <v>1.53169916978661</v>
      </c>
      <c r="I222" s="76">
        <f t="shared" si="12"/>
        <v>3.63523949567219</v>
      </c>
      <c r="K222" s="53"/>
    </row>
    <row r="223" ht="15.75" spans="1:11">
      <c r="A223" s="83"/>
      <c r="B223" s="83"/>
      <c r="C223" s="100"/>
      <c r="D223" s="164" t="s">
        <v>30</v>
      </c>
      <c r="E223" s="163">
        <v>185918.286281786</v>
      </c>
      <c r="F223" s="19">
        <v>330599</v>
      </c>
      <c r="G223" s="214">
        <f t="shared" si="13"/>
        <v>4.42380477518901</v>
      </c>
      <c r="H223" s="20">
        <v>3.17211245471652</v>
      </c>
      <c r="I223" s="76">
        <f t="shared" si="12"/>
        <v>7.59591722990553</v>
      </c>
      <c r="K223" s="53"/>
    </row>
    <row r="224" s="211" customFormat="1" ht="15.75" spans="1:67">
      <c r="A224" s="84"/>
      <c r="B224" s="84"/>
      <c r="C224" s="100"/>
      <c r="D224" s="164" t="s">
        <v>28</v>
      </c>
      <c r="E224" s="163">
        <v>21634.4870859252</v>
      </c>
      <c r="F224" s="19">
        <v>79317</v>
      </c>
      <c r="G224" s="214">
        <f t="shared" si="13"/>
        <v>0.514778557792984</v>
      </c>
      <c r="H224" s="20">
        <v>0.317276650322875</v>
      </c>
      <c r="I224" s="76">
        <f>G224+H224</f>
        <v>0.832055208115859</v>
      </c>
      <c r="J224"/>
      <c r="K224" s="53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</row>
    <row r="225" ht="15.75" spans="1:9">
      <c r="A225" s="86"/>
      <c r="B225" s="87"/>
      <c r="C225" s="87"/>
      <c r="D225" s="87"/>
      <c r="E225" s="87"/>
      <c r="F225" s="87"/>
      <c r="G225" s="87"/>
      <c r="H225" s="87"/>
      <c r="I225" s="87"/>
    </row>
    <row r="226" ht="15.75" spans="1:9">
      <c r="A226" s="40" t="s">
        <v>81</v>
      </c>
      <c r="B226" s="40"/>
      <c r="C226" s="40"/>
      <c r="D226" s="4"/>
      <c r="E226" s="174"/>
      <c r="F226" s="40"/>
      <c r="G226" s="215" t="s">
        <v>8</v>
      </c>
      <c r="H226" s="215"/>
      <c r="I226" s="215"/>
    </row>
    <row r="227" ht="78.75" spans="1:9">
      <c r="A227" s="35" t="s">
        <v>82</v>
      </c>
      <c r="B227" s="35" t="s">
        <v>10</v>
      </c>
      <c r="C227" s="35" t="s">
        <v>11</v>
      </c>
      <c r="D227" s="35" t="s">
        <v>83</v>
      </c>
      <c r="E227" s="35" t="s">
        <v>13</v>
      </c>
      <c r="F227" s="35" t="s">
        <v>84</v>
      </c>
      <c r="G227" s="35" t="s">
        <v>15</v>
      </c>
      <c r="H227" s="35" t="s">
        <v>16</v>
      </c>
      <c r="I227" s="35" t="s">
        <v>17</v>
      </c>
    </row>
    <row r="228" s="1" customFormat="1" spans="1:9">
      <c r="A228" s="216" t="s">
        <v>18</v>
      </c>
      <c r="B228" s="217" t="s">
        <v>19</v>
      </c>
      <c r="C228" s="216" t="s">
        <v>20</v>
      </c>
      <c r="D228" s="217" t="s">
        <v>21</v>
      </c>
      <c r="E228" s="217" t="s">
        <v>22</v>
      </c>
      <c r="F228" s="217" t="s">
        <v>23</v>
      </c>
      <c r="G228" s="217" t="s">
        <v>24</v>
      </c>
      <c r="H228" s="217" t="s">
        <v>25</v>
      </c>
      <c r="I228" s="217" t="s">
        <v>26</v>
      </c>
    </row>
    <row r="229" ht="15.75" spans="1:9">
      <c r="A229" s="71">
        <v>1</v>
      </c>
      <c r="B229" s="71">
        <v>1981</v>
      </c>
      <c r="C229" s="11" t="s">
        <v>27</v>
      </c>
      <c r="D229" s="151" t="s">
        <v>85</v>
      </c>
      <c r="E229" s="71">
        <v>16427</v>
      </c>
      <c r="F229" s="15" t="s">
        <v>29</v>
      </c>
      <c r="G229" s="43">
        <f t="shared" ref="G229:G292" si="14">E229*162*365/POWER(10,9)</f>
        <v>0.97132851</v>
      </c>
      <c r="H229" s="15" t="s">
        <v>29</v>
      </c>
      <c r="I229" s="20">
        <f>G229</f>
        <v>0.97132851</v>
      </c>
    </row>
    <row r="230" ht="37.5" customHeight="1" spans="1:9">
      <c r="A230" s="71"/>
      <c r="B230" s="71"/>
      <c r="C230" s="22"/>
      <c r="D230" s="13" t="s">
        <v>30</v>
      </c>
      <c r="E230" s="71">
        <v>11336</v>
      </c>
      <c r="F230" s="15" t="s">
        <v>29</v>
      </c>
      <c r="G230" s="43">
        <f t="shared" si="14"/>
        <v>0.67029768</v>
      </c>
      <c r="H230" s="15" t="s">
        <v>29</v>
      </c>
      <c r="I230" s="20">
        <f t="shared" ref="I230:I248" si="15">G230</f>
        <v>0.67029768</v>
      </c>
    </row>
    <row r="231" ht="42.75" customHeight="1" spans="1:9">
      <c r="A231" s="71"/>
      <c r="B231" s="71"/>
      <c r="C231" s="22"/>
      <c r="D231" s="13" t="s">
        <v>37</v>
      </c>
      <c r="E231" s="71">
        <v>55797</v>
      </c>
      <c r="F231" s="15" t="s">
        <v>29</v>
      </c>
      <c r="G231" s="43">
        <f t="shared" si="14"/>
        <v>3.29927661</v>
      </c>
      <c r="H231" s="15" t="s">
        <v>29</v>
      </c>
      <c r="I231" s="20">
        <f t="shared" si="15"/>
        <v>3.29927661</v>
      </c>
    </row>
    <row r="232" ht="15.75" spans="1:9">
      <c r="A232" s="71"/>
      <c r="B232" s="71"/>
      <c r="C232" s="23"/>
      <c r="D232" s="13" t="s">
        <v>45</v>
      </c>
      <c r="E232" s="71">
        <v>27122</v>
      </c>
      <c r="F232" s="15" t="s">
        <v>29</v>
      </c>
      <c r="G232" s="43">
        <f t="shared" si="14"/>
        <v>1.60372386</v>
      </c>
      <c r="H232" s="15" t="s">
        <v>29</v>
      </c>
      <c r="I232" s="20">
        <f t="shared" si="15"/>
        <v>1.60372386</v>
      </c>
    </row>
    <row r="233" ht="15.75" spans="1:9">
      <c r="A233" s="71"/>
      <c r="B233" s="71"/>
      <c r="C233" s="10" t="s">
        <v>48</v>
      </c>
      <c r="D233" s="151" t="s">
        <v>86</v>
      </c>
      <c r="E233" s="71">
        <v>13655</v>
      </c>
      <c r="F233" s="15" t="s">
        <v>29</v>
      </c>
      <c r="G233" s="43">
        <f t="shared" si="14"/>
        <v>0.80742015</v>
      </c>
      <c r="H233" s="15" t="s">
        <v>29</v>
      </c>
      <c r="I233" s="20">
        <f t="shared" si="15"/>
        <v>0.80742015</v>
      </c>
    </row>
    <row r="234" ht="15.75" spans="1:9">
      <c r="A234" s="71"/>
      <c r="B234" s="71"/>
      <c r="C234" s="10"/>
      <c r="D234" s="151" t="s">
        <v>87</v>
      </c>
      <c r="E234" s="71">
        <v>3722</v>
      </c>
      <c r="F234" s="15" t="s">
        <v>29</v>
      </c>
      <c r="G234" s="43">
        <f t="shared" si="14"/>
        <v>0.22008186</v>
      </c>
      <c r="H234" s="15" t="s">
        <v>29</v>
      </c>
      <c r="I234" s="20">
        <f t="shared" si="15"/>
        <v>0.22008186</v>
      </c>
    </row>
    <row r="235" ht="15.75" spans="1:9">
      <c r="A235" s="71"/>
      <c r="B235" s="71"/>
      <c r="C235" s="10" t="s">
        <v>60</v>
      </c>
      <c r="D235" s="151" t="s">
        <v>63</v>
      </c>
      <c r="E235" s="71">
        <v>10379</v>
      </c>
      <c r="F235" s="15" t="s">
        <v>29</v>
      </c>
      <c r="G235" s="43">
        <f t="shared" si="14"/>
        <v>0.61371027</v>
      </c>
      <c r="H235" s="15" t="s">
        <v>29</v>
      </c>
      <c r="I235" s="20">
        <f t="shared" si="15"/>
        <v>0.61371027</v>
      </c>
    </row>
    <row r="236" ht="15.75" spans="1:9">
      <c r="A236" s="71"/>
      <c r="B236" s="71"/>
      <c r="C236" s="10" t="s">
        <v>65</v>
      </c>
      <c r="D236" s="151" t="s">
        <v>88</v>
      </c>
      <c r="E236" s="71">
        <v>55360</v>
      </c>
      <c r="F236" s="15" t="s">
        <v>29</v>
      </c>
      <c r="G236" s="43">
        <f t="shared" si="14"/>
        <v>3.2734368</v>
      </c>
      <c r="H236" s="15" t="s">
        <v>29</v>
      </c>
      <c r="I236" s="20">
        <f t="shared" si="15"/>
        <v>3.2734368</v>
      </c>
    </row>
    <row r="237" ht="15.75" spans="1:9">
      <c r="A237" s="71"/>
      <c r="B237" s="71"/>
      <c r="C237" s="10" t="s">
        <v>68</v>
      </c>
      <c r="D237" s="13" t="s">
        <v>71</v>
      </c>
      <c r="E237" s="15">
        <v>15085</v>
      </c>
      <c r="F237" s="15" t="s">
        <v>29</v>
      </c>
      <c r="G237" s="43">
        <f t="shared" si="14"/>
        <v>0.89197605</v>
      </c>
      <c r="H237" s="15" t="s">
        <v>29</v>
      </c>
      <c r="I237" s="20">
        <f t="shared" si="15"/>
        <v>0.89197605</v>
      </c>
    </row>
    <row r="238" ht="15.75" spans="1:9">
      <c r="A238" s="70">
        <v>2</v>
      </c>
      <c r="B238" s="70">
        <v>1991</v>
      </c>
      <c r="C238" s="11" t="s">
        <v>27</v>
      </c>
      <c r="D238" s="151" t="s">
        <v>85</v>
      </c>
      <c r="E238" s="15">
        <v>21003</v>
      </c>
      <c r="F238" s="15" t="s">
        <v>29</v>
      </c>
      <c r="G238" s="43">
        <f t="shared" si="14"/>
        <v>1.24190739</v>
      </c>
      <c r="H238" s="15" t="s">
        <v>29</v>
      </c>
      <c r="I238" s="20">
        <f t="shared" si="15"/>
        <v>1.24190739</v>
      </c>
    </row>
    <row r="239" ht="15.75" spans="1:9">
      <c r="A239" s="83"/>
      <c r="B239" s="83"/>
      <c r="C239" s="22"/>
      <c r="D239" s="13" t="s">
        <v>30</v>
      </c>
      <c r="E239" s="15">
        <v>14257</v>
      </c>
      <c r="F239" s="15" t="s">
        <v>29</v>
      </c>
      <c r="G239" s="43">
        <f t="shared" si="14"/>
        <v>0.84301641</v>
      </c>
      <c r="H239" s="15" t="s">
        <v>29</v>
      </c>
      <c r="I239" s="20">
        <f t="shared" si="15"/>
        <v>0.84301641</v>
      </c>
    </row>
    <row r="240" ht="15.75" spans="1:9">
      <c r="A240" s="83"/>
      <c r="B240" s="83"/>
      <c r="C240" s="22"/>
      <c r="D240" s="13" t="s">
        <v>37</v>
      </c>
      <c r="E240" s="15">
        <v>69357</v>
      </c>
      <c r="F240" s="15" t="s">
        <v>29</v>
      </c>
      <c r="G240" s="43">
        <f t="shared" si="14"/>
        <v>4.10107941</v>
      </c>
      <c r="H240" s="15" t="s">
        <v>29</v>
      </c>
      <c r="I240" s="20">
        <f t="shared" si="15"/>
        <v>4.10107941</v>
      </c>
    </row>
    <row r="241" ht="15.75" spans="1:9">
      <c r="A241" s="83"/>
      <c r="B241" s="83"/>
      <c r="C241" s="23"/>
      <c r="D241" s="13" t="s">
        <v>45</v>
      </c>
      <c r="E241" s="15">
        <v>39176</v>
      </c>
      <c r="F241" s="15" t="s">
        <v>29</v>
      </c>
      <c r="G241" s="43">
        <f t="shared" si="14"/>
        <v>2.31647688</v>
      </c>
      <c r="H241" s="15" t="s">
        <v>29</v>
      </c>
      <c r="I241" s="20">
        <f t="shared" si="15"/>
        <v>2.31647688</v>
      </c>
    </row>
    <row r="242" ht="15.75" spans="1:9">
      <c r="A242" s="83"/>
      <c r="B242" s="83"/>
      <c r="C242" s="11" t="s">
        <v>48</v>
      </c>
      <c r="D242" s="151" t="s">
        <v>86</v>
      </c>
      <c r="E242" s="15">
        <v>16894</v>
      </c>
      <c r="F242" s="15" t="s">
        <v>29</v>
      </c>
      <c r="G242" s="43">
        <f t="shared" si="14"/>
        <v>0.99894222</v>
      </c>
      <c r="H242" s="15" t="s">
        <v>29</v>
      </c>
      <c r="I242" s="20">
        <f t="shared" si="15"/>
        <v>0.99894222</v>
      </c>
    </row>
    <row r="243" ht="15.75" spans="1:9">
      <c r="A243" s="83"/>
      <c r="B243" s="83"/>
      <c r="C243" s="22"/>
      <c r="D243" s="151" t="s">
        <v>87</v>
      </c>
      <c r="E243" s="15">
        <v>5467</v>
      </c>
      <c r="F243" s="15" t="s">
        <v>29</v>
      </c>
      <c r="G243" s="43">
        <f t="shared" si="14"/>
        <v>0.32326371</v>
      </c>
      <c r="H243" s="15" t="s">
        <v>29</v>
      </c>
      <c r="I243" s="20">
        <f t="shared" si="15"/>
        <v>0.32326371</v>
      </c>
    </row>
    <row r="244" ht="15.75" spans="1:9">
      <c r="A244" s="83"/>
      <c r="B244" s="83"/>
      <c r="C244" s="22"/>
      <c r="D244" s="151" t="s">
        <v>89</v>
      </c>
      <c r="E244" s="187">
        <v>7737</v>
      </c>
      <c r="F244" s="15" t="s">
        <v>29</v>
      </c>
      <c r="G244" s="182">
        <f>E244*(162*365)/POWER(10,9)</f>
        <v>0.45748881</v>
      </c>
      <c r="H244" s="15" t="s">
        <v>29</v>
      </c>
      <c r="I244" s="20">
        <f t="shared" si="15"/>
        <v>0.45748881</v>
      </c>
    </row>
    <row r="245" ht="15.75" spans="1:9">
      <c r="A245" s="83"/>
      <c r="B245" s="83"/>
      <c r="C245" s="23"/>
      <c r="D245" s="151" t="s">
        <v>90</v>
      </c>
      <c r="E245" s="187">
        <v>6298</v>
      </c>
      <c r="F245" s="15" t="s">
        <v>29</v>
      </c>
      <c r="G245" s="182">
        <f>E245*(162*365)/POWER(10,9)</f>
        <v>0.37240074</v>
      </c>
      <c r="H245" s="15" t="s">
        <v>29</v>
      </c>
      <c r="I245" s="20">
        <f t="shared" si="15"/>
        <v>0.37240074</v>
      </c>
    </row>
    <row r="246" ht="15.75" spans="1:9">
      <c r="A246" s="83"/>
      <c r="B246" s="83"/>
      <c r="C246" s="10" t="s">
        <v>60</v>
      </c>
      <c r="D246" s="151" t="s">
        <v>63</v>
      </c>
      <c r="E246" s="15">
        <v>12266</v>
      </c>
      <c r="F246" s="15" t="s">
        <v>29</v>
      </c>
      <c r="G246" s="43">
        <f t="shared" si="14"/>
        <v>0.72528858</v>
      </c>
      <c r="H246" s="15" t="s">
        <v>29</v>
      </c>
      <c r="I246" s="20">
        <f t="shared" si="15"/>
        <v>0.72528858</v>
      </c>
    </row>
    <row r="247" ht="19.5" customHeight="1" spans="1:9">
      <c r="A247" s="83"/>
      <c r="B247" s="83"/>
      <c r="C247" s="10" t="s">
        <v>65</v>
      </c>
      <c r="D247" s="151" t="s">
        <v>88</v>
      </c>
      <c r="E247" s="15">
        <v>55996</v>
      </c>
      <c r="F247" s="15" t="s">
        <v>29</v>
      </c>
      <c r="G247" s="43">
        <f t="shared" si="14"/>
        <v>3.31104348</v>
      </c>
      <c r="H247" s="15" t="s">
        <v>29</v>
      </c>
      <c r="I247" s="20">
        <f t="shared" si="15"/>
        <v>3.31104348</v>
      </c>
    </row>
    <row r="248" ht="15.75" spans="1:9">
      <c r="A248" s="84"/>
      <c r="B248" s="84"/>
      <c r="C248" s="10" t="s">
        <v>68</v>
      </c>
      <c r="D248" s="13" t="s">
        <v>71</v>
      </c>
      <c r="E248" s="15">
        <v>20702</v>
      </c>
      <c r="F248" s="15" t="s">
        <v>29</v>
      </c>
      <c r="G248" s="43">
        <f t="shared" si="14"/>
        <v>1.22410926</v>
      </c>
      <c r="H248" s="15" t="s">
        <v>29</v>
      </c>
      <c r="I248" s="20">
        <f t="shared" si="15"/>
        <v>1.22410926</v>
      </c>
    </row>
    <row r="249" ht="15.75" spans="1:9">
      <c r="A249" s="70">
        <v>3</v>
      </c>
      <c r="B249" s="70">
        <v>2001</v>
      </c>
      <c r="C249" s="10" t="s">
        <v>68</v>
      </c>
      <c r="D249" s="13" t="s">
        <v>75</v>
      </c>
      <c r="E249" s="15">
        <v>8773</v>
      </c>
      <c r="F249" s="19">
        <v>9806</v>
      </c>
      <c r="G249" s="43">
        <f t="shared" si="14"/>
        <v>0.51874749</v>
      </c>
      <c r="H249" s="20">
        <v>0.139215794834252</v>
      </c>
      <c r="I249" s="20">
        <f>G249+H249</f>
        <v>0.657963284834252</v>
      </c>
    </row>
    <row r="250" ht="15.75" spans="1:9">
      <c r="A250" s="83"/>
      <c r="B250" s="83"/>
      <c r="C250" s="11" t="s">
        <v>37</v>
      </c>
      <c r="D250" s="13" t="s">
        <v>91</v>
      </c>
      <c r="E250" s="15">
        <v>6035</v>
      </c>
      <c r="F250" s="15" t="s">
        <v>29</v>
      </c>
      <c r="G250" s="43">
        <f t="shared" si="14"/>
        <v>0.35684955</v>
      </c>
      <c r="H250" s="15" t="s">
        <v>29</v>
      </c>
      <c r="I250" s="20">
        <f t="shared" ref="I250:I251" si="16">G250</f>
        <v>0.35684955</v>
      </c>
    </row>
    <row r="251" ht="15.75" spans="1:9">
      <c r="A251" s="83"/>
      <c r="B251" s="83"/>
      <c r="C251" s="22"/>
      <c r="D251" s="13" t="s">
        <v>92</v>
      </c>
      <c r="E251" s="15">
        <v>6540</v>
      </c>
      <c r="F251" s="15" t="s">
        <v>29</v>
      </c>
      <c r="G251" s="43">
        <f>E251*(162*365)/POWER(10,9)</f>
        <v>0.3867102</v>
      </c>
      <c r="H251" s="15" t="s">
        <v>29</v>
      </c>
      <c r="I251" s="20">
        <f t="shared" si="16"/>
        <v>0.3867102</v>
      </c>
    </row>
    <row r="252" ht="15.75" spans="1:9">
      <c r="A252" s="83"/>
      <c r="B252" s="83"/>
      <c r="C252" s="22"/>
      <c r="D252" s="13" t="s">
        <v>37</v>
      </c>
      <c r="E252" s="15">
        <v>82111</v>
      </c>
      <c r="F252" s="19">
        <v>5324</v>
      </c>
      <c r="G252" s="43">
        <f t="shared" si="14"/>
        <v>4.85522343</v>
      </c>
      <c r="H252" s="20">
        <v>0.0783277163987916</v>
      </c>
      <c r="I252" s="20">
        <f>G252+H252</f>
        <v>4.93355114639879</v>
      </c>
    </row>
    <row r="253" ht="15.75" spans="1:9">
      <c r="A253" s="83"/>
      <c r="B253" s="83"/>
      <c r="C253" s="22"/>
      <c r="D253" s="13" t="s">
        <v>93</v>
      </c>
      <c r="E253" s="15">
        <v>5220</v>
      </c>
      <c r="F253" s="15" t="s">
        <v>29</v>
      </c>
      <c r="G253" s="43">
        <f t="shared" si="14"/>
        <v>0.3086586</v>
      </c>
      <c r="H253" s="15" t="s">
        <v>29</v>
      </c>
      <c r="I253" s="20">
        <f t="shared" ref="I253:I255" si="17">G253</f>
        <v>0.3086586</v>
      </c>
    </row>
    <row r="254" ht="15.75" spans="1:9">
      <c r="A254" s="83"/>
      <c r="B254" s="83"/>
      <c r="C254" s="23"/>
      <c r="D254" s="13" t="s">
        <v>38</v>
      </c>
      <c r="E254" s="15">
        <v>10987</v>
      </c>
      <c r="F254" s="15" t="s">
        <v>29</v>
      </c>
      <c r="G254" s="43">
        <f t="shared" si="14"/>
        <v>0.64966131</v>
      </c>
      <c r="H254" s="15" t="s">
        <v>29</v>
      </c>
      <c r="I254" s="20">
        <f t="shared" si="17"/>
        <v>0.64966131</v>
      </c>
    </row>
    <row r="255" ht="15.75" spans="1:9">
      <c r="A255" s="83"/>
      <c r="B255" s="83"/>
      <c r="C255" s="11" t="s">
        <v>65</v>
      </c>
      <c r="D255" s="151" t="s">
        <v>94</v>
      </c>
      <c r="E255" s="15">
        <v>6110</v>
      </c>
      <c r="F255" s="15" t="s">
        <v>29</v>
      </c>
      <c r="G255" s="43">
        <f t="shared" si="14"/>
        <v>0.3612843</v>
      </c>
      <c r="H255" s="15" t="s">
        <v>29</v>
      </c>
      <c r="I255" s="20">
        <f t="shared" si="17"/>
        <v>0.3612843</v>
      </c>
    </row>
    <row r="256" ht="15.75" spans="1:9">
      <c r="A256" s="83"/>
      <c r="B256" s="83"/>
      <c r="C256" s="23"/>
      <c r="D256" s="151" t="s">
        <v>88</v>
      </c>
      <c r="E256" s="15">
        <v>50884</v>
      </c>
      <c r="F256" s="19">
        <v>19796</v>
      </c>
      <c r="G256" s="43">
        <f t="shared" si="14"/>
        <v>3.00877092</v>
      </c>
      <c r="H256" s="20">
        <v>0.169437781546186</v>
      </c>
      <c r="I256" s="20">
        <f>G256+H256</f>
        <v>3.17820870154619</v>
      </c>
    </row>
    <row r="257" ht="15.75" spans="1:9">
      <c r="A257" s="83"/>
      <c r="B257" s="83"/>
      <c r="C257" s="11" t="s">
        <v>95</v>
      </c>
      <c r="D257" s="151" t="s">
        <v>54</v>
      </c>
      <c r="E257" s="15">
        <v>6501</v>
      </c>
      <c r="F257" s="15" t="s">
        <v>29</v>
      </c>
      <c r="G257" s="43">
        <f t="shared" si="14"/>
        <v>0.38440413</v>
      </c>
      <c r="H257" s="15" t="s">
        <v>29</v>
      </c>
      <c r="I257" s="20">
        <f t="shared" ref="I257:I260" si="18">G257</f>
        <v>0.38440413</v>
      </c>
    </row>
    <row r="258" ht="15.75" spans="1:9">
      <c r="A258" s="83"/>
      <c r="B258" s="83"/>
      <c r="C258" s="22"/>
      <c r="D258" s="151" t="s">
        <v>53</v>
      </c>
      <c r="E258" s="15">
        <v>5410</v>
      </c>
      <c r="F258" s="15" t="s">
        <v>29</v>
      </c>
      <c r="G258" s="43">
        <f t="shared" si="14"/>
        <v>0.3198933</v>
      </c>
      <c r="H258" s="15" t="s">
        <v>29</v>
      </c>
      <c r="I258" s="20">
        <f t="shared" si="18"/>
        <v>0.3198933</v>
      </c>
    </row>
    <row r="259" ht="15.75" spans="1:9">
      <c r="A259" s="83"/>
      <c r="B259" s="83"/>
      <c r="C259" s="22"/>
      <c r="D259" s="151" t="s">
        <v>50</v>
      </c>
      <c r="E259" s="15">
        <v>7168</v>
      </c>
      <c r="F259" s="15" t="s">
        <v>29</v>
      </c>
      <c r="G259" s="43">
        <f t="shared" si="14"/>
        <v>0.42384384</v>
      </c>
      <c r="H259" s="15" t="s">
        <v>29</v>
      </c>
      <c r="I259" s="20">
        <f t="shared" si="18"/>
        <v>0.42384384</v>
      </c>
    </row>
    <row r="260" ht="15.75" spans="1:9">
      <c r="A260" s="83"/>
      <c r="B260" s="83"/>
      <c r="C260" s="22"/>
      <c r="D260" s="151" t="s">
        <v>87</v>
      </c>
      <c r="E260" s="15">
        <v>6231</v>
      </c>
      <c r="F260" s="15" t="s">
        <v>29</v>
      </c>
      <c r="G260" s="43">
        <f t="shared" si="14"/>
        <v>0.36843903</v>
      </c>
      <c r="H260" s="15" t="s">
        <v>29</v>
      </c>
      <c r="I260" s="20">
        <f t="shared" si="18"/>
        <v>0.36843903</v>
      </c>
    </row>
    <row r="261" ht="15.75" spans="1:9">
      <c r="A261" s="83"/>
      <c r="B261" s="83"/>
      <c r="C261" s="22"/>
      <c r="D261" s="92" t="s">
        <v>90</v>
      </c>
      <c r="E261" s="15">
        <v>8107</v>
      </c>
      <c r="F261" s="19">
        <v>1396</v>
      </c>
      <c r="G261" s="43">
        <f>E261*(162*365)/POWER(10,9)</f>
        <v>0.47936691</v>
      </c>
      <c r="H261" s="20">
        <v>0.0464289990431818</v>
      </c>
      <c r="I261" s="20">
        <f>G261+H261</f>
        <v>0.525795909043182</v>
      </c>
    </row>
    <row r="262" ht="15.75" spans="1:9">
      <c r="A262" s="83"/>
      <c r="B262" s="83"/>
      <c r="C262" s="22"/>
      <c r="D262" s="92" t="s">
        <v>89</v>
      </c>
      <c r="E262" s="15">
        <v>8606</v>
      </c>
      <c r="F262" s="15" t="s">
        <v>29</v>
      </c>
      <c r="G262" s="43">
        <f>E262*(162*365)/POWER(10,9)</f>
        <v>0.50887278</v>
      </c>
      <c r="H262" s="15" t="s">
        <v>29</v>
      </c>
      <c r="I262" s="20">
        <f t="shared" ref="I262:I263" si="19">G262</f>
        <v>0.50887278</v>
      </c>
    </row>
    <row r="263" ht="15.75" spans="1:9">
      <c r="A263" s="83"/>
      <c r="B263" s="83"/>
      <c r="C263" s="22"/>
      <c r="D263" s="92" t="s">
        <v>96</v>
      </c>
      <c r="E263" s="15">
        <v>5503</v>
      </c>
      <c r="F263" s="15" t="s">
        <v>29</v>
      </c>
      <c r="G263" s="43">
        <f>E263*(162*365)/POWER(10,9)</f>
        <v>0.32539239</v>
      </c>
      <c r="H263" s="15" t="s">
        <v>29</v>
      </c>
      <c r="I263" s="20">
        <f t="shared" si="19"/>
        <v>0.32539239</v>
      </c>
    </row>
    <row r="264" ht="15.75" spans="1:9">
      <c r="A264" s="83"/>
      <c r="B264" s="83"/>
      <c r="C264" s="23"/>
      <c r="D264" s="151" t="s">
        <v>86</v>
      </c>
      <c r="E264" s="15">
        <v>20213</v>
      </c>
      <c r="F264" s="19">
        <v>16399</v>
      </c>
      <c r="G264" s="43">
        <f t="shared" si="14"/>
        <v>1.19519469</v>
      </c>
      <c r="H264" s="20">
        <v>0.108449441486459</v>
      </c>
      <c r="I264" s="20">
        <f>G264+H264</f>
        <v>1.30364413148646</v>
      </c>
    </row>
    <row r="265" ht="15.75" spans="1:9">
      <c r="A265" s="83"/>
      <c r="B265" s="83"/>
      <c r="C265" s="11" t="s">
        <v>71</v>
      </c>
      <c r="D265" s="13" t="s">
        <v>97</v>
      </c>
      <c r="E265" s="15">
        <v>5126</v>
      </c>
      <c r="F265" s="15" t="s">
        <v>29</v>
      </c>
      <c r="G265" s="43">
        <f t="shared" si="14"/>
        <v>0.30310038</v>
      </c>
      <c r="H265" s="15" t="s">
        <v>29</v>
      </c>
      <c r="I265" s="20">
        <f>G265</f>
        <v>0.30310038</v>
      </c>
    </row>
    <row r="266" ht="15.75" spans="1:9">
      <c r="A266" s="83"/>
      <c r="B266" s="83"/>
      <c r="C266" s="22"/>
      <c r="D266" s="13" t="s">
        <v>70</v>
      </c>
      <c r="E266" s="15">
        <v>6783</v>
      </c>
      <c r="F266" s="19">
        <v>5923</v>
      </c>
      <c r="G266" s="43">
        <f t="shared" si="14"/>
        <v>0.40107879</v>
      </c>
      <c r="H266" s="20">
        <v>0.0562087118865984</v>
      </c>
      <c r="I266" s="20">
        <f>G266+H266</f>
        <v>0.457287501886598</v>
      </c>
    </row>
    <row r="267" ht="15.75" spans="1:9">
      <c r="A267" s="83"/>
      <c r="B267" s="83"/>
      <c r="C267" s="22"/>
      <c r="D267" s="13" t="s">
        <v>73</v>
      </c>
      <c r="E267" s="15">
        <v>8871</v>
      </c>
      <c r="F267" s="19">
        <v>7254</v>
      </c>
      <c r="G267" s="43">
        <f t="shared" si="14"/>
        <v>0.52454223</v>
      </c>
      <c r="H267" s="20">
        <v>0.122096656407052</v>
      </c>
      <c r="I267" s="20">
        <f>G267+H267</f>
        <v>0.646638886407052</v>
      </c>
    </row>
    <row r="268" ht="15.75" spans="1:9">
      <c r="A268" s="83"/>
      <c r="B268" s="83"/>
      <c r="C268" s="22"/>
      <c r="D268" s="13" t="s">
        <v>71</v>
      </c>
      <c r="E268" s="15">
        <v>24479</v>
      </c>
      <c r="F268" s="19">
        <v>24541</v>
      </c>
      <c r="G268" s="43">
        <f t="shared" si="14"/>
        <v>1.44744327</v>
      </c>
      <c r="H268" s="20">
        <v>0.341696477877088</v>
      </c>
      <c r="I268" s="20">
        <f>G268+H268</f>
        <v>1.78913974787709</v>
      </c>
    </row>
    <row r="269" ht="15.75" spans="1:9">
      <c r="A269" s="83"/>
      <c r="B269" s="83"/>
      <c r="C269" s="23"/>
      <c r="D269" s="13" t="s">
        <v>69</v>
      </c>
      <c r="E269" s="15">
        <v>3317</v>
      </c>
      <c r="F269" s="15" t="s">
        <v>29</v>
      </c>
      <c r="G269" s="43">
        <f t="shared" si="14"/>
        <v>0.19613421</v>
      </c>
      <c r="H269" s="15" t="s">
        <v>29</v>
      </c>
      <c r="I269" s="20">
        <f>G269</f>
        <v>0.19613421</v>
      </c>
    </row>
    <row r="270" ht="15.75" spans="1:9">
      <c r="A270" s="83"/>
      <c r="B270" s="83"/>
      <c r="C270" s="10" t="s">
        <v>45</v>
      </c>
      <c r="D270" s="13" t="s">
        <v>45</v>
      </c>
      <c r="E270" s="15">
        <v>47100</v>
      </c>
      <c r="F270" s="19">
        <v>49126</v>
      </c>
      <c r="G270" s="43">
        <f t="shared" si="14"/>
        <v>2.785023</v>
      </c>
      <c r="H270" s="20">
        <v>0.185486142680277</v>
      </c>
      <c r="I270" s="20">
        <f>G270+H270</f>
        <v>2.97050914268028</v>
      </c>
    </row>
    <row r="271" ht="15.75" spans="1:9">
      <c r="A271" s="83"/>
      <c r="B271" s="83"/>
      <c r="C271" s="11" t="s">
        <v>60</v>
      </c>
      <c r="D271" s="151" t="s">
        <v>64</v>
      </c>
      <c r="E271" s="15">
        <v>5020</v>
      </c>
      <c r="F271" s="15" t="s">
        <v>29</v>
      </c>
      <c r="G271" s="43">
        <f t="shared" si="14"/>
        <v>0.2968326</v>
      </c>
      <c r="H271" s="15" t="s">
        <v>29</v>
      </c>
      <c r="I271" s="20">
        <f>G271</f>
        <v>0.2968326</v>
      </c>
    </row>
    <row r="272" ht="15.75" spans="1:9">
      <c r="A272" s="83"/>
      <c r="B272" s="83"/>
      <c r="C272" s="22"/>
      <c r="D272" s="151" t="s">
        <v>62</v>
      </c>
      <c r="E272" s="15">
        <v>4516</v>
      </c>
      <c r="F272" s="15" t="s">
        <v>29</v>
      </c>
      <c r="G272" s="43">
        <f t="shared" si="14"/>
        <v>0.26703108</v>
      </c>
      <c r="H272" s="15" t="s">
        <v>29</v>
      </c>
      <c r="I272" s="20">
        <f>G272</f>
        <v>0.26703108</v>
      </c>
    </row>
    <row r="273" ht="15.75" spans="1:9">
      <c r="A273" s="83"/>
      <c r="B273" s="83"/>
      <c r="C273" s="22"/>
      <c r="D273" s="125" t="s">
        <v>98</v>
      </c>
      <c r="E273" s="15">
        <v>6276</v>
      </c>
      <c r="F273" s="15" t="s">
        <v>29</v>
      </c>
      <c r="G273" s="43">
        <f>E273*(162*365)/POWER(10,9)</f>
        <v>0.37109988</v>
      </c>
      <c r="H273" s="15" t="s">
        <v>29</v>
      </c>
      <c r="I273" s="20">
        <f>G273</f>
        <v>0.37109988</v>
      </c>
    </row>
    <row r="274" ht="15.75" spans="1:9">
      <c r="A274" s="83"/>
      <c r="B274" s="83"/>
      <c r="C274" s="23"/>
      <c r="D274" s="151" t="s">
        <v>63</v>
      </c>
      <c r="E274" s="15">
        <v>14459</v>
      </c>
      <c r="F274" s="19">
        <v>3105</v>
      </c>
      <c r="G274" s="43">
        <f t="shared" si="14"/>
        <v>0.85496067</v>
      </c>
      <c r="H274" s="20">
        <v>0.0367100642348461</v>
      </c>
      <c r="I274" s="20">
        <f>G274+H274</f>
        <v>0.891670734234846</v>
      </c>
    </row>
    <row r="275" ht="15.75" spans="1:9">
      <c r="A275" s="83"/>
      <c r="B275" s="83"/>
      <c r="C275" s="11" t="s">
        <v>27</v>
      </c>
      <c r="D275" s="13" t="s">
        <v>30</v>
      </c>
      <c r="E275" s="15">
        <v>16629</v>
      </c>
      <c r="F275" s="19">
        <v>7602</v>
      </c>
      <c r="G275" s="43">
        <f t="shared" si="14"/>
        <v>0.98327277</v>
      </c>
      <c r="H275" s="20">
        <v>0.0928571827188843</v>
      </c>
      <c r="I275" s="20">
        <f>G275+H275</f>
        <v>1.07612995271888</v>
      </c>
    </row>
    <row r="276" ht="15.75" spans="1:9">
      <c r="A276" s="83"/>
      <c r="B276" s="83"/>
      <c r="C276" s="22"/>
      <c r="D276" s="13" t="s">
        <v>35</v>
      </c>
      <c r="E276" s="15">
        <v>4869</v>
      </c>
      <c r="F276" s="19">
        <v>1416</v>
      </c>
      <c r="G276" s="43">
        <f t="shared" si="14"/>
        <v>0.28790397</v>
      </c>
      <c r="H276" s="20">
        <v>0.0365485888726501</v>
      </c>
      <c r="I276" s="20">
        <f>G276+H276</f>
        <v>0.32445255887265</v>
      </c>
    </row>
    <row r="277" ht="15.75" spans="1:9">
      <c r="A277" s="83"/>
      <c r="B277" s="83"/>
      <c r="C277" s="22"/>
      <c r="D277" s="13" t="s">
        <v>41</v>
      </c>
      <c r="E277" s="15">
        <v>4869</v>
      </c>
      <c r="F277" s="15" t="s">
        <v>29</v>
      </c>
      <c r="G277" s="43">
        <f t="shared" si="14"/>
        <v>0.28790397</v>
      </c>
      <c r="H277" s="15" t="s">
        <v>29</v>
      </c>
      <c r="I277" s="20">
        <f>G277</f>
        <v>0.28790397</v>
      </c>
    </row>
    <row r="278" ht="15.75" spans="1:9">
      <c r="A278" s="83"/>
      <c r="B278" s="83"/>
      <c r="C278" s="22"/>
      <c r="D278" s="151" t="s">
        <v>85</v>
      </c>
      <c r="E278" s="15">
        <v>25737</v>
      </c>
      <c r="F278" s="19">
        <v>4870</v>
      </c>
      <c r="G278" s="43">
        <f t="shared" si="14"/>
        <v>1.52182881</v>
      </c>
      <c r="H278" s="20">
        <v>0.110060807355652</v>
      </c>
      <c r="I278" s="20">
        <f t="shared" ref="I278:I308" si="20">G278+H278</f>
        <v>1.63188961735565</v>
      </c>
    </row>
    <row r="279" ht="15.75" spans="1:9">
      <c r="A279" s="83"/>
      <c r="B279" s="83"/>
      <c r="C279" s="22"/>
      <c r="D279" s="13" t="s">
        <v>32</v>
      </c>
      <c r="E279" s="15">
        <v>6258</v>
      </c>
      <c r="F279" s="19">
        <v>3726</v>
      </c>
      <c r="G279" s="43">
        <f t="shared" si="14"/>
        <v>0.37003554</v>
      </c>
      <c r="H279" s="20">
        <v>0.0907605366815964</v>
      </c>
      <c r="I279" s="20">
        <f t="shared" si="20"/>
        <v>0.460796076681596</v>
      </c>
    </row>
    <row r="280" ht="15.75" spans="1:9">
      <c r="A280" s="84"/>
      <c r="B280" s="84"/>
      <c r="C280" s="23"/>
      <c r="D280" s="13" t="s">
        <v>40</v>
      </c>
      <c r="E280" s="15">
        <v>11823</v>
      </c>
      <c r="F280" s="19">
        <v>4097</v>
      </c>
      <c r="G280" s="43">
        <f t="shared" si="14"/>
        <v>0.69909399</v>
      </c>
      <c r="H280" s="20">
        <v>0.134885818542543</v>
      </c>
      <c r="I280" s="20">
        <f t="shared" si="20"/>
        <v>0.833979808542543</v>
      </c>
    </row>
    <row r="281" ht="15.75" spans="1:9">
      <c r="A281" s="70">
        <v>4</v>
      </c>
      <c r="B281" s="70">
        <v>2011</v>
      </c>
      <c r="C281" s="10" t="s">
        <v>68</v>
      </c>
      <c r="D281" s="13" t="s">
        <v>75</v>
      </c>
      <c r="E281" s="15">
        <v>11115</v>
      </c>
      <c r="F281" s="19">
        <v>18401</v>
      </c>
      <c r="G281" s="43">
        <f t="shared" si="14"/>
        <v>0.65722995</v>
      </c>
      <c r="H281" s="20">
        <v>0.225824989</v>
      </c>
      <c r="I281" s="20">
        <f t="shared" si="20"/>
        <v>0.883054939</v>
      </c>
    </row>
    <row r="282" ht="15.75" spans="1:9">
      <c r="A282" s="83"/>
      <c r="B282" s="83"/>
      <c r="C282" s="11" t="s">
        <v>37</v>
      </c>
      <c r="D282" s="13" t="s">
        <v>91</v>
      </c>
      <c r="E282" s="15">
        <v>6600</v>
      </c>
      <c r="F282" s="19">
        <v>2049</v>
      </c>
      <c r="G282" s="43">
        <f t="shared" si="14"/>
        <v>0.390258</v>
      </c>
      <c r="H282" s="20">
        <v>0.076119217</v>
      </c>
      <c r="I282" s="20">
        <f t="shared" si="20"/>
        <v>0.466377217</v>
      </c>
    </row>
    <row r="283" ht="15.75" spans="1:9">
      <c r="A283" s="83"/>
      <c r="B283" s="83"/>
      <c r="C283" s="22"/>
      <c r="D283" s="13" t="s">
        <v>92</v>
      </c>
      <c r="E283" s="15">
        <v>7547</v>
      </c>
      <c r="F283" s="19">
        <v>2795</v>
      </c>
      <c r="G283" s="43">
        <f>E283*(162*365)/POWER(10,9)</f>
        <v>0.44625411</v>
      </c>
      <c r="H283" s="20">
        <v>0.080321462</v>
      </c>
      <c r="I283" s="20">
        <f t="shared" si="20"/>
        <v>0.526575572</v>
      </c>
    </row>
    <row r="284" ht="15.75" spans="1:9">
      <c r="A284" s="83"/>
      <c r="B284" s="83"/>
      <c r="C284" s="22"/>
      <c r="D284" s="13" t="s">
        <v>37</v>
      </c>
      <c r="E284" s="15">
        <v>101677</v>
      </c>
      <c r="F284" s="19">
        <v>10078</v>
      </c>
      <c r="G284" s="43">
        <f t="shared" si="14"/>
        <v>6.01216101</v>
      </c>
      <c r="H284" s="20">
        <v>0.179107617</v>
      </c>
      <c r="I284" s="20">
        <f t="shared" si="20"/>
        <v>6.191268627</v>
      </c>
    </row>
    <row r="285" ht="15.75" spans="1:9">
      <c r="A285" s="83"/>
      <c r="B285" s="83"/>
      <c r="C285" s="22"/>
      <c r="D285" s="13" t="s">
        <v>93</v>
      </c>
      <c r="E285" s="15">
        <v>6280</v>
      </c>
      <c r="F285" s="19">
        <v>2485</v>
      </c>
      <c r="G285" s="43">
        <f t="shared" si="14"/>
        <v>0.3713364</v>
      </c>
      <c r="H285" s="20">
        <v>0.070967607</v>
      </c>
      <c r="I285" s="20">
        <f t="shared" si="20"/>
        <v>0.442304007</v>
      </c>
    </row>
    <row r="286" ht="15.75" spans="1:9">
      <c r="A286" s="83"/>
      <c r="B286" s="83"/>
      <c r="C286" s="23"/>
      <c r="D286" s="13" t="s">
        <v>38</v>
      </c>
      <c r="E286" s="15">
        <v>13308</v>
      </c>
      <c r="F286" s="19">
        <v>2781</v>
      </c>
      <c r="G286" s="43">
        <f t="shared" si="14"/>
        <v>0.78690204</v>
      </c>
      <c r="H286" s="20">
        <v>0.079398012</v>
      </c>
      <c r="I286" s="20">
        <f t="shared" si="20"/>
        <v>0.866300052</v>
      </c>
    </row>
    <row r="287" ht="15.75" spans="1:9">
      <c r="A287" s="83"/>
      <c r="B287" s="83"/>
      <c r="C287" s="11" t="s">
        <v>65</v>
      </c>
      <c r="D287" s="151" t="s">
        <v>94</v>
      </c>
      <c r="E287" s="15">
        <v>6160</v>
      </c>
      <c r="F287" s="19">
        <v>2833</v>
      </c>
      <c r="G287" s="43">
        <f t="shared" si="14"/>
        <v>0.3642408</v>
      </c>
      <c r="H287" s="20">
        <v>0.055574681</v>
      </c>
      <c r="I287" s="20">
        <f t="shared" si="20"/>
        <v>0.419815481</v>
      </c>
    </row>
    <row r="288" ht="15.75" spans="1:9">
      <c r="A288" s="83"/>
      <c r="B288" s="83"/>
      <c r="C288" s="23"/>
      <c r="D288" s="151" t="s">
        <v>88</v>
      </c>
      <c r="E288" s="15">
        <v>44363</v>
      </c>
      <c r="F288" s="19">
        <v>18608</v>
      </c>
      <c r="G288" s="43">
        <f t="shared" si="14"/>
        <v>2.62318419</v>
      </c>
      <c r="H288" s="20">
        <v>0.117123901</v>
      </c>
      <c r="I288" s="20">
        <f t="shared" si="20"/>
        <v>2.740308091</v>
      </c>
    </row>
    <row r="289" ht="15.75" spans="1:9">
      <c r="A289" s="83"/>
      <c r="B289" s="83"/>
      <c r="C289" s="11" t="s">
        <v>95</v>
      </c>
      <c r="D289" s="151" t="s">
        <v>54</v>
      </c>
      <c r="E289" s="15">
        <v>7854</v>
      </c>
      <c r="F289" s="19">
        <v>2056</v>
      </c>
      <c r="G289" s="43">
        <f t="shared" si="14"/>
        <v>0.46440702</v>
      </c>
      <c r="H289" s="20">
        <v>0.060181054</v>
      </c>
      <c r="I289" s="20">
        <f t="shared" si="20"/>
        <v>0.524588074</v>
      </c>
    </row>
    <row r="290" ht="15.75" spans="1:9">
      <c r="A290" s="83"/>
      <c r="B290" s="83"/>
      <c r="C290" s="22"/>
      <c r="D290" s="151" t="s">
        <v>53</v>
      </c>
      <c r="E290" s="15">
        <v>7946</v>
      </c>
      <c r="F290" s="19">
        <v>3296</v>
      </c>
      <c r="G290" s="43">
        <f t="shared" si="14"/>
        <v>0.46984698</v>
      </c>
      <c r="H290" s="20">
        <v>0.090350348</v>
      </c>
      <c r="I290" s="20">
        <f t="shared" si="20"/>
        <v>0.560197328</v>
      </c>
    </row>
    <row r="291" ht="15.75" spans="1:9">
      <c r="A291" s="83"/>
      <c r="B291" s="83"/>
      <c r="C291" s="22"/>
      <c r="D291" s="151" t="s">
        <v>50</v>
      </c>
      <c r="E291" s="15">
        <v>8118</v>
      </c>
      <c r="F291" s="19">
        <v>3771</v>
      </c>
      <c r="G291" s="43">
        <f t="shared" si="14"/>
        <v>0.48001734</v>
      </c>
      <c r="H291" s="20">
        <v>0.116489093</v>
      </c>
      <c r="I291" s="20">
        <f t="shared" si="20"/>
        <v>0.596506433</v>
      </c>
    </row>
    <row r="292" ht="15.75" spans="1:9">
      <c r="A292" s="83"/>
      <c r="B292" s="83"/>
      <c r="C292" s="22"/>
      <c r="D292" s="151" t="s">
        <v>87</v>
      </c>
      <c r="E292" s="15">
        <v>8793</v>
      </c>
      <c r="F292" s="19">
        <v>9114</v>
      </c>
      <c r="G292" s="43">
        <f t="shared" si="14"/>
        <v>0.51993009</v>
      </c>
      <c r="H292" s="20">
        <v>0.130620725</v>
      </c>
      <c r="I292" s="20">
        <f t="shared" si="20"/>
        <v>0.650550815</v>
      </c>
    </row>
    <row r="293" ht="15.75" spans="1:9">
      <c r="A293" s="83"/>
      <c r="B293" s="83"/>
      <c r="C293" s="22"/>
      <c r="D293" s="92" t="s">
        <v>90</v>
      </c>
      <c r="E293" s="15">
        <v>9707</v>
      </c>
      <c r="F293" s="19">
        <v>3440</v>
      </c>
      <c r="G293" s="43">
        <f>E293*(162*365)/POWER(10,9)</f>
        <v>0.57397491</v>
      </c>
      <c r="H293" s="20">
        <v>0.037945254</v>
      </c>
      <c r="I293" s="20">
        <f t="shared" si="20"/>
        <v>0.611920164</v>
      </c>
    </row>
    <row r="294" ht="15.75" spans="1:9">
      <c r="A294" s="83"/>
      <c r="B294" s="83"/>
      <c r="C294" s="22"/>
      <c r="D294" s="92" t="s">
        <v>89</v>
      </c>
      <c r="E294" s="15">
        <v>10193</v>
      </c>
      <c r="F294" s="19">
        <v>3753</v>
      </c>
      <c r="G294" s="43">
        <f>E294*(162*365)/POWER(10,9)</f>
        <v>0.60271209</v>
      </c>
      <c r="H294" s="20">
        <v>0.11337190175</v>
      </c>
      <c r="I294" s="20">
        <f t="shared" si="20"/>
        <v>0.71608399175</v>
      </c>
    </row>
    <row r="295" ht="15.75" spans="1:9">
      <c r="A295" s="83"/>
      <c r="B295" s="83"/>
      <c r="C295" s="22"/>
      <c r="D295" s="92" t="s">
        <v>96</v>
      </c>
      <c r="E295" s="15">
        <v>6160</v>
      </c>
      <c r="F295" s="19">
        <v>1949</v>
      </c>
      <c r="G295" s="43">
        <f>E295*(162*365)/POWER(10,9)</f>
        <v>0.3642408</v>
      </c>
      <c r="H295" s="20">
        <v>0.063800467</v>
      </c>
      <c r="I295" s="20">
        <f t="shared" si="20"/>
        <v>0.428041267</v>
      </c>
    </row>
    <row r="296" ht="15.75" spans="1:9">
      <c r="A296" s="83"/>
      <c r="B296" s="83"/>
      <c r="C296" s="23"/>
      <c r="D296" s="151" t="s">
        <v>86</v>
      </c>
      <c r="E296" s="15">
        <v>21955</v>
      </c>
      <c r="F296" s="19">
        <v>15704</v>
      </c>
      <c r="G296" s="43">
        <f t="shared" ref="G296:G350" si="21">E296*162*365/POWER(10,9)</f>
        <v>1.29819915</v>
      </c>
      <c r="H296" s="20">
        <v>0.08183195975</v>
      </c>
      <c r="I296" s="20">
        <f t="shared" si="20"/>
        <v>1.38003110975</v>
      </c>
    </row>
    <row r="297" ht="15.75" spans="1:9">
      <c r="A297" s="83"/>
      <c r="B297" s="83"/>
      <c r="C297" s="11" t="s">
        <v>71</v>
      </c>
      <c r="D297" s="13" t="s">
        <v>97</v>
      </c>
      <c r="E297" s="15">
        <v>6777</v>
      </c>
      <c r="F297" s="19">
        <v>2431</v>
      </c>
      <c r="G297" s="43">
        <f t="shared" si="21"/>
        <v>0.40072401</v>
      </c>
      <c r="H297" s="20">
        <v>0.0441723</v>
      </c>
      <c r="I297" s="20">
        <f t="shared" si="20"/>
        <v>0.44489631</v>
      </c>
    </row>
    <row r="298" ht="15.75" spans="1:9">
      <c r="A298" s="83"/>
      <c r="B298" s="83"/>
      <c r="C298" s="22"/>
      <c r="D298" s="13" t="s">
        <v>70</v>
      </c>
      <c r="E298" s="15">
        <v>8125</v>
      </c>
      <c r="F298" s="19">
        <v>2818</v>
      </c>
      <c r="G298" s="43">
        <f t="shared" si="21"/>
        <v>0.48043125</v>
      </c>
      <c r="H298" s="20">
        <v>0.027151474</v>
      </c>
      <c r="I298" s="20">
        <f t="shared" si="20"/>
        <v>0.507582724</v>
      </c>
    </row>
    <row r="299" ht="15.75" spans="1:9">
      <c r="A299" s="83"/>
      <c r="B299" s="83"/>
      <c r="C299" s="22"/>
      <c r="D299" s="13" t="s">
        <v>73</v>
      </c>
      <c r="E299" s="15">
        <v>9707</v>
      </c>
      <c r="F299" s="19">
        <v>2356</v>
      </c>
      <c r="G299" s="43">
        <f t="shared" si="21"/>
        <v>0.57397491</v>
      </c>
      <c r="H299" s="20">
        <v>0.038217179</v>
      </c>
      <c r="I299" s="20">
        <f t="shared" si="20"/>
        <v>0.612192089</v>
      </c>
    </row>
    <row r="300" ht="15.75" spans="1:9">
      <c r="A300" s="83"/>
      <c r="B300" s="83"/>
      <c r="C300" s="22"/>
      <c r="D300" s="13" t="s">
        <v>71</v>
      </c>
      <c r="E300" s="15">
        <v>37442</v>
      </c>
      <c r="F300" s="19">
        <v>8912</v>
      </c>
      <c r="G300" s="43">
        <f t="shared" si="21"/>
        <v>2.21394546</v>
      </c>
      <c r="H300" s="20">
        <v>0.09384651875</v>
      </c>
      <c r="I300" s="20">
        <f t="shared" si="20"/>
        <v>2.30779197875</v>
      </c>
    </row>
    <row r="301" ht="15.75" spans="1:9">
      <c r="A301" s="83"/>
      <c r="B301" s="83"/>
      <c r="C301" s="23"/>
      <c r="D301" s="13" t="s">
        <v>69</v>
      </c>
      <c r="E301" s="15">
        <v>4509</v>
      </c>
      <c r="F301" s="19">
        <v>3181</v>
      </c>
      <c r="G301" s="43">
        <f t="shared" si="21"/>
        <v>0.26661717</v>
      </c>
      <c r="H301" s="20">
        <v>0.050882241</v>
      </c>
      <c r="I301" s="20">
        <f t="shared" si="20"/>
        <v>0.317499411</v>
      </c>
    </row>
    <row r="302" ht="15.75" spans="1:9">
      <c r="A302" s="83"/>
      <c r="B302" s="83"/>
      <c r="C302" s="10" t="s">
        <v>45</v>
      </c>
      <c r="D302" s="13" t="s">
        <v>45</v>
      </c>
      <c r="E302" s="15">
        <v>54413</v>
      </c>
      <c r="F302" s="19">
        <v>6794</v>
      </c>
      <c r="G302" s="43">
        <f t="shared" si="21"/>
        <v>3.21744069</v>
      </c>
      <c r="H302" s="20">
        <v>0.14554044675</v>
      </c>
      <c r="I302" s="20">
        <f t="shared" si="20"/>
        <v>3.36298113675</v>
      </c>
    </row>
    <row r="303" ht="15.75" spans="1:9">
      <c r="A303" s="83"/>
      <c r="B303" s="83"/>
      <c r="C303" s="11" t="s">
        <v>60</v>
      </c>
      <c r="D303" s="151" t="s">
        <v>64</v>
      </c>
      <c r="E303" s="15">
        <v>5600</v>
      </c>
      <c r="F303" s="19">
        <v>1148</v>
      </c>
      <c r="G303" s="43">
        <f t="shared" si="21"/>
        <v>0.331128</v>
      </c>
      <c r="H303" s="20">
        <v>0.021812911</v>
      </c>
      <c r="I303" s="20">
        <f t="shared" si="20"/>
        <v>0.352940911</v>
      </c>
    </row>
    <row r="304" ht="15.75" spans="1:9">
      <c r="A304" s="83"/>
      <c r="B304" s="83"/>
      <c r="C304" s="22"/>
      <c r="D304" s="151" t="s">
        <v>62</v>
      </c>
      <c r="E304" s="15">
        <v>4744</v>
      </c>
      <c r="F304" s="19">
        <v>2249</v>
      </c>
      <c r="G304" s="43">
        <f t="shared" si="21"/>
        <v>0.28051272</v>
      </c>
      <c r="H304" s="20">
        <v>0.033434219</v>
      </c>
      <c r="I304" s="20">
        <f t="shared" si="20"/>
        <v>0.313946939</v>
      </c>
    </row>
    <row r="305" ht="15.75" spans="1:9">
      <c r="A305" s="83"/>
      <c r="B305" s="83"/>
      <c r="C305" s="22"/>
      <c r="D305" s="125" t="s">
        <v>98</v>
      </c>
      <c r="E305" s="15">
        <v>6927</v>
      </c>
      <c r="F305" s="19">
        <v>2189</v>
      </c>
      <c r="G305" s="43">
        <f>E305*(162*365)/POWER(10,9)</f>
        <v>0.40959351</v>
      </c>
      <c r="H305" s="20">
        <v>0.055694109</v>
      </c>
      <c r="I305" s="20">
        <f t="shared" si="20"/>
        <v>0.465287619</v>
      </c>
    </row>
    <row r="306" ht="15.75" spans="1:9">
      <c r="A306" s="83"/>
      <c r="B306" s="83"/>
      <c r="C306" s="23"/>
      <c r="D306" s="151" t="s">
        <v>63</v>
      </c>
      <c r="E306" s="15">
        <v>14954</v>
      </c>
      <c r="F306" s="19">
        <v>440</v>
      </c>
      <c r="G306" s="43">
        <f t="shared" si="21"/>
        <v>0.88423002</v>
      </c>
      <c r="H306" s="20">
        <v>0.0075770715</v>
      </c>
      <c r="I306" s="20">
        <f t="shared" si="20"/>
        <v>0.8918070915</v>
      </c>
    </row>
    <row r="307" ht="15.75" spans="1:9">
      <c r="A307" s="83"/>
      <c r="B307" s="83"/>
      <c r="C307" s="11" t="s">
        <v>27</v>
      </c>
      <c r="D307" s="13" t="s">
        <v>30</v>
      </c>
      <c r="E307" s="15">
        <v>19091</v>
      </c>
      <c r="F307" s="19">
        <v>20109</v>
      </c>
      <c r="G307" s="43">
        <f t="shared" si="21"/>
        <v>1.12885083</v>
      </c>
      <c r="H307" s="20">
        <v>0.087862508</v>
      </c>
      <c r="I307" s="20">
        <f t="shared" si="20"/>
        <v>1.216713338</v>
      </c>
    </row>
    <row r="308" ht="15.75" spans="1:9">
      <c r="A308" s="83"/>
      <c r="B308" s="83"/>
      <c r="C308" s="22"/>
      <c r="D308" s="13" t="s">
        <v>35</v>
      </c>
      <c r="E308" s="15">
        <v>5544</v>
      </c>
      <c r="F308" s="19">
        <v>903</v>
      </c>
      <c r="G308" s="43">
        <f t="shared" si="21"/>
        <v>0.32781672</v>
      </c>
      <c r="H308" s="20">
        <v>0.028403205</v>
      </c>
      <c r="I308" s="20">
        <f t="shared" si="20"/>
        <v>0.356219925</v>
      </c>
    </row>
    <row r="309" ht="15.75" spans="1:9">
      <c r="A309" s="83"/>
      <c r="B309" s="83"/>
      <c r="C309" s="22"/>
      <c r="D309" s="13" t="s">
        <v>99</v>
      </c>
      <c r="E309" s="15">
        <v>3341</v>
      </c>
      <c r="F309" s="15" t="s">
        <v>29</v>
      </c>
      <c r="G309" s="43">
        <f t="shared" si="21"/>
        <v>0.19755333</v>
      </c>
      <c r="H309" s="15" t="s">
        <v>29</v>
      </c>
      <c r="I309" s="20">
        <f>G309</f>
        <v>0.19755333</v>
      </c>
    </row>
    <row r="310" ht="15.75" spans="1:9">
      <c r="A310" s="83"/>
      <c r="B310" s="83"/>
      <c r="C310" s="22"/>
      <c r="D310" s="13" t="s">
        <v>41</v>
      </c>
      <c r="E310" s="15">
        <v>6095</v>
      </c>
      <c r="F310" s="19">
        <v>1447</v>
      </c>
      <c r="G310" s="43">
        <f t="shared" si="21"/>
        <v>0.36039735</v>
      </c>
      <c r="H310" s="20">
        <v>0.025945806</v>
      </c>
      <c r="I310" s="20">
        <f>G310+H310</f>
        <v>0.386343156</v>
      </c>
    </row>
    <row r="311" ht="15.75" spans="1:9">
      <c r="A311" s="83"/>
      <c r="B311" s="83"/>
      <c r="C311" s="22"/>
      <c r="D311" s="151" t="s">
        <v>85</v>
      </c>
      <c r="E311" s="15">
        <v>29315</v>
      </c>
      <c r="F311" s="19">
        <v>3455</v>
      </c>
      <c r="G311" s="43">
        <f t="shared" si="21"/>
        <v>1.73339595</v>
      </c>
      <c r="H311" s="20">
        <v>0.103912872</v>
      </c>
      <c r="I311" s="20">
        <f>G311+H311</f>
        <v>1.837308822</v>
      </c>
    </row>
    <row r="312" ht="15.75" spans="1:9">
      <c r="A312" s="83"/>
      <c r="B312" s="83"/>
      <c r="C312" s="22"/>
      <c r="D312" s="13" t="s">
        <v>100</v>
      </c>
      <c r="E312" s="15">
        <v>16086</v>
      </c>
      <c r="F312" s="15" t="s">
        <v>29</v>
      </c>
      <c r="G312" s="43">
        <f t="shared" si="21"/>
        <v>0.95116518</v>
      </c>
      <c r="H312" s="15" t="s">
        <v>29</v>
      </c>
      <c r="I312" s="20">
        <f>G312</f>
        <v>0.95116518</v>
      </c>
    </row>
    <row r="313" ht="15.75" spans="1:9">
      <c r="A313" s="83"/>
      <c r="B313" s="83"/>
      <c r="C313" s="22"/>
      <c r="D313" s="13" t="s">
        <v>32</v>
      </c>
      <c r="E313" s="15">
        <v>8567</v>
      </c>
      <c r="F313" s="19">
        <v>5208</v>
      </c>
      <c r="G313" s="43">
        <f t="shared" si="21"/>
        <v>0.50656671</v>
      </c>
      <c r="H313" s="20">
        <v>0.12344666825</v>
      </c>
      <c r="I313" s="20">
        <f>G313+H313</f>
        <v>0.63001337825</v>
      </c>
    </row>
    <row r="314" ht="15.75" spans="1:9">
      <c r="A314" s="83"/>
      <c r="B314" s="83"/>
      <c r="C314" s="22"/>
      <c r="D314" s="13" t="s">
        <v>40</v>
      </c>
      <c r="E314" s="15">
        <v>14090</v>
      </c>
      <c r="F314" s="19">
        <v>3180</v>
      </c>
      <c r="G314" s="43">
        <f t="shared" si="21"/>
        <v>0.8331417</v>
      </c>
      <c r="H314" s="20">
        <v>0.08445667475</v>
      </c>
      <c r="I314" s="20">
        <f>G314+H314</f>
        <v>0.91759837475</v>
      </c>
    </row>
    <row r="315" ht="15.75" spans="1:9">
      <c r="A315" s="84"/>
      <c r="B315" s="84"/>
      <c r="C315" s="23"/>
      <c r="D315" s="13" t="s">
        <v>101</v>
      </c>
      <c r="E315" s="15">
        <v>6907</v>
      </c>
      <c r="F315" s="15" t="s">
        <v>29</v>
      </c>
      <c r="G315" s="43">
        <f t="shared" si="21"/>
        <v>0.40841091</v>
      </c>
      <c r="H315" s="15" t="s">
        <v>29</v>
      </c>
      <c r="I315" s="20">
        <f>G315</f>
        <v>0.40841091</v>
      </c>
    </row>
    <row r="316" ht="15.75" spans="1:9">
      <c r="A316" s="71">
        <v>5</v>
      </c>
      <c r="B316" s="71">
        <v>2021</v>
      </c>
      <c r="C316" s="10" t="s">
        <v>78</v>
      </c>
      <c r="D316" s="151" t="s">
        <v>94</v>
      </c>
      <c r="E316" s="15">
        <v>6210</v>
      </c>
      <c r="F316" s="19">
        <v>2058</v>
      </c>
      <c r="G316" s="43">
        <f t="shared" si="21"/>
        <v>0.3671973</v>
      </c>
      <c r="H316" s="20">
        <v>0.0705559208928571</v>
      </c>
      <c r="I316" s="20">
        <f t="shared" ref="I316:I346" si="22">G316+H316</f>
        <v>0.437753220892857</v>
      </c>
    </row>
    <row r="317" ht="15.75" spans="1:9">
      <c r="A317" s="71"/>
      <c r="B317" s="71"/>
      <c r="C317" s="10"/>
      <c r="D317" s="151" t="s">
        <v>88</v>
      </c>
      <c r="E317" s="15">
        <v>40697</v>
      </c>
      <c r="F317" s="19">
        <v>3129</v>
      </c>
      <c r="G317" s="43">
        <f t="shared" si="21"/>
        <v>2.40641361</v>
      </c>
      <c r="H317" s="20">
        <v>0.0758490596428571</v>
      </c>
      <c r="I317" s="20">
        <f t="shared" si="22"/>
        <v>2.48226266964286</v>
      </c>
    </row>
    <row r="318" ht="15.75" spans="1:9">
      <c r="A318" s="71"/>
      <c r="B318" s="71"/>
      <c r="C318" s="10" t="s">
        <v>33</v>
      </c>
      <c r="D318" s="13" t="s">
        <v>35</v>
      </c>
      <c r="E318" s="15">
        <v>6219</v>
      </c>
      <c r="F318" s="19">
        <v>836</v>
      </c>
      <c r="G318" s="43">
        <f t="shared" si="21"/>
        <v>0.36772947</v>
      </c>
      <c r="H318" s="20">
        <v>0.0181576158928571</v>
      </c>
      <c r="I318" s="20">
        <f t="shared" si="22"/>
        <v>0.385887085892857</v>
      </c>
    </row>
    <row r="319" ht="15.75" spans="1:9">
      <c r="A319" s="71"/>
      <c r="B319" s="71"/>
      <c r="C319" s="10"/>
      <c r="D319" s="13" t="s">
        <v>32</v>
      </c>
      <c r="E319" s="15">
        <v>10876</v>
      </c>
      <c r="F319" s="19">
        <v>3038</v>
      </c>
      <c r="G319" s="43">
        <f t="shared" si="21"/>
        <v>0.64309788</v>
      </c>
      <c r="H319" s="20">
        <v>0.08704602125</v>
      </c>
      <c r="I319" s="20">
        <f t="shared" si="22"/>
        <v>0.73014390125</v>
      </c>
    </row>
    <row r="320" ht="15.75" spans="1:9">
      <c r="A320" s="71"/>
      <c r="B320" s="71"/>
      <c r="C320" s="10" t="s">
        <v>37</v>
      </c>
      <c r="D320" s="13" t="s">
        <v>91</v>
      </c>
      <c r="E320" s="15">
        <v>7165</v>
      </c>
      <c r="F320" s="19">
        <v>1892</v>
      </c>
      <c r="G320" s="43">
        <f t="shared" si="21"/>
        <v>0.42366645</v>
      </c>
      <c r="H320" s="20">
        <v>0.0661525608928571</v>
      </c>
      <c r="I320" s="20">
        <f t="shared" si="22"/>
        <v>0.489819010892857</v>
      </c>
    </row>
    <row r="321" ht="15.75" spans="1:9">
      <c r="A321" s="71"/>
      <c r="B321" s="71"/>
      <c r="C321" s="10"/>
      <c r="D321" s="13" t="s">
        <v>92</v>
      </c>
      <c r="E321" s="15">
        <v>8554</v>
      </c>
      <c r="F321" s="19">
        <v>2556</v>
      </c>
      <c r="G321" s="43">
        <f>E321*(162*365)/POWER(10,9)</f>
        <v>0.50579802</v>
      </c>
      <c r="H321" s="20">
        <v>0.0848451233928572</v>
      </c>
      <c r="I321" s="20">
        <f t="shared" si="22"/>
        <v>0.590643143392857</v>
      </c>
    </row>
    <row r="322" ht="15.75" spans="1:9">
      <c r="A322" s="71"/>
      <c r="B322" s="71"/>
      <c r="C322" s="10"/>
      <c r="D322" s="13" t="s">
        <v>37</v>
      </c>
      <c r="E322" s="15">
        <v>119973</v>
      </c>
      <c r="F322" s="19">
        <v>30388</v>
      </c>
      <c r="G322" s="43">
        <f t="shared" si="21"/>
        <v>7.09400349</v>
      </c>
      <c r="H322" s="20">
        <v>0.231256308928572</v>
      </c>
      <c r="I322" s="20">
        <f t="shared" si="22"/>
        <v>7.32525979892857</v>
      </c>
    </row>
    <row r="323" ht="15.75" spans="1:9">
      <c r="A323" s="71"/>
      <c r="B323" s="71"/>
      <c r="C323" s="10"/>
      <c r="D323" s="13" t="s">
        <v>93</v>
      </c>
      <c r="E323" s="15">
        <v>7340</v>
      </c>
      <c r="F323" s="19">
        <v>3004</v>
      </c>
      <c r="G323" s="43">
        <f t="shared" si="21"/>
        <v>0.4340142</v>
      </c>
      <c r="H323" s="20">
        <v>0.0834072841071429</v>
      </c>
      <c r="I323" s="20">
        <f t="shared" si="22"/>
        <v>0.517421484107143</v>
      </c>
    </row>
    <row r="324" ht="15.75" spans="1:9">
      <c r="A324" s="71"/>
      <c r="B324" s="71"/>
      <c r="C324" s="10"/>
      <c r="D324" s="13" t="s">
        <v>38</v>
      </c>
      <c r="E324" s="15">
        <v>15629</v>
      </c>
      <c r="F324" s="19">
        <v>4312</v>
      </c>
      <c r="G324" s="43">
        <f t="shared" si="21"/>
        <v>0.92414277</v>
      </c>
      <c r="H324" s="20">
        <v>0.0867329555357143</v>
      </c>
      <c r="I324" s="20">
        <f t="shared" si="22"/>
        <v>1.01087572553571</v>
      </c>
    </row>
    <row r="325" ht="15.75" spans="1:9">
      <c r="A325" s="71"/>
      <c r="B325" s="71"/>
      <c r="C325" s="10" t="s">
        <v>42</v>
      </c>
      <c r="D325" s="13" t="s">
        <v>41</v>
      </c>
      <c r="E325" s="15">
        <v>7321</v>
      </c>
      <c r="F325" s="19">
        <v>2858</v>
      </c>
      <c r="G325" s="43">
        <f t="shared" si="21"/>
        <v>0.43289073</v>
      </c>
      <c r="H325" s="20">
        <v>0.0524326410714286</v>
      </c>
      <c r="I325" s="20">
        <f t="shared" si="22"/>
        <v>0.485323371071429</v>
      </c>
    </row>
    <row r="326" ht="15.75" spans="1:9">
      <c r="A326" s="71"/>
      <c r="B326" s="71"/>
      <c r="C326" s="10"/>
      <c r="D326" s="13" t="s">
        <v>40</v>
      </c>
      <c r="E326" s="15">
        <v>16352</v>
      </c>
      <c r="F326" s="19">
        <v>3324</v>
      </c>
      <c r="G326" s="43">
        <f t="shared" si="21"/>
        <v>0.96689376</v>
      </c>
      <c r="H326" s="20">
        <v>0.0798269208928572</v>
      </c>
      <c r="I326" s="20">
        <f t="shared" si="22"/>
        <v>1.04672068089286</v>
      </c>
    </row>
    <row r="327" ht="15.75" spans="1:9">
      <c r="A327" s="71"/>
      <c r="B327" s="71"/>
      <c r="C327" s="9" t="s">
        <v>95</v>
      </c>
      <c r="D327" s="151" t="s">
        <v>54</v>
      </c>
      <c r="E327" s="15">
        <v>9207</v>
      </c>
      <c r="F327" s="19">
        <v>2535</v>
      </c>
      <c r="G327" s="43">
        <f t="shared" si="21"/>
        <v>0.54440991</v>
      </c>
      <c r="H327" s="20">
        <v>0.0628923417857143</v>
      </c>
      <c r="I327" s="20">
        <f t="shared" si="22"/>
        <v>0.607302251785714</v>
      </c>
    </row>
    <row r="328" ht="15.75" spans="1:9">
      <c r="A328" s="71"/>
      <c r="B328" s="71"/>
      <c r="C328" s="9"/>
      <c r="D328" s="151" t="s">
        <v>53</v>
      </c>
      <c r="E328" s="15">
        <v>10482</v>
      </c>
      <c r="F328" s="19">
        <v>1664</v>
      </c>
      <c r="G328" s="43">
        <f t="shared" si="21"/>
        <v>0.61980066</v>
      </c>
      <c r="H328" s="20">
        <v>0.0508665825</v>
      </c>
      <c r="I328" s="20">
        <f t="shared" si="22"/>
        <v>0.6706672425</v>
      </c>
    </row>
    <row r="329" ht="15.75" spans="1:9">
      <c r="A329" s="71"/>
      <c r="B329" s="71"/>
      <c r="C329" s="9"/>
      <c r="D329" s="151" t="s">
        <v>50</v>
      </c>
      <c r="E329" s="15">
        <v>9068</v>
      </c>
      <c r="F329" s="19">
        <v>603</v>
      </c>
      <c r="G329" s="43">
        <f t="shared" si="21"/>
        <v>0.53619084</v>
      </c>
      <c r="H329" s="20">
        <v>0.0138542007142857</v>
      </c>
      <c r="I329" s="20">
        <f t="shared" si="22"/>
        <v>0.550045040714286</v>
      </c>
    </row>
    <row r="330" ht="15.75" spans="1:9">
      <c r="A330" s="71"/>
      <c r="B330" s="71"/>
      <c r="C330" s="9"/>
      <c r="D330" s="151" t="s">
        <v>87</v>
      </c>
      <c r="E330" s="15">
        <v>10892</v>
      </c>
      <c r="F330" s="19">
        <v>1107</v>
      </c>
      <c r="G330" s="43">
        <f t="shared" si="21"/>
        <v>0.64404396</v>
      </c>
      <c r="H330" s="20">
        <v>0.0278776571428571</v>
      </c>
      <c r="I330" s="20">
        <f t="shared" si="22"/>
        <v>0.671921617142857</v>
      </c>
    </row>
    <row r="331" ht="15.75" spans="1:9">
      <c r="A331" s="71"/>
      <c r="B331" s="71"/>
      <c r="C331" s="9"/>
      <c r="D331" s="92" t="s">
        <v>90</v>
      </c>
      <c r="E331" s="15">
        <v>11203</v>
      </c>
      <c r="F331" s="19">
        <v>1457</v>
      </c>
      <c r="G331" s="43">
        <f>E331*(162*365)/POWER(10,9)</f>
        <v>0.66243339</v>
      </c>
      <c r="H331" s="20">
        <v>0.0473873242857143</v>
      </c>
      <c r="I331" s="20">
        <f t="shared" si="22"/>
        <v>0.709820714285714</v>
      </c>
    </row>
    <row r="332" ht="15.75" spans="1:9">
      <c r="A332" s="71"/>
      <c r="B332" s="71"/>
      <c r="C332" s="9"/>
      <c r="D332" s="92" t="s">
        <v>89</v>
      </c>
      <c r="E332" s="15">
        <v>12139</v>
      </c>
      <c r="F332" s="19">
        <v>15243</v>
      </c>
      <c r="G332" s="43">
        <f>E332*(162*365)/POWER(10,9)</f>
        <v>0.71777907</v>
      </c>
      <c r="H332" s="20">
        <v>0.0787109985714286</v>
      </c>
      <c r="I332" s="20">
        <f t="shared" si="22"/>
        <v>0.796490068571429</v>
      </c>
    </row>
    <row r="333" ht="15.75" spans="1:9">
      <c r="A333" s="71"/>
      <c r="B333" s="71"/>
      <c r="C333" s="9"/>
      <c r="D333" s="92" t="s">
        <v>96</v>
      </c>
      <c r="E333" s="15">
        <v>6817</v>
      </c>
      <c r="F333" s="19">
        <v>1620</v>
      </c>
      <c r="G333" s="43">
        <f>E333*(162*365)/POWER(10,9)</f>
        <v>0.40308921</v>
      </c>
      <c r="H333" s="20">
        <v>0.0564408233928572</v>
      </c>
      <c r="I333" s="20">
        <f t="shared" si="22"/>
        <v>0.459530033392857</v>
      </c>
    </row>
    <row r="334" ht="15.75" spans="1:9">
      <c r="A334" s="71"/>
      <c r="B334" s="71"/>
      <c r="C334" s="9"/>
      <c r="D334" s="151" t="s">
        <v>86</v>
      </c>
      <c r="E334" s="15">
        <v>23973</v>
      </c>
      <c r="F334" s="19">
        <v>43899</v>
      </c>
      <c r="G334" s="43">
        <f t="shared" si="21"/>
        <v>1.41752349</v>
      </c>
      <c r="H334" s="20">
        <v>0.122106891428571</v>
      </c>
      <c r="I334" s="20">
        <f t="shared" si="22"/>
        <v>1.53963038142857</v>
      </c>
    </row>
    <row r="335" ht="15.75" spans="1:9">
      <c r="A335" s="71"/>
      <c r="B335" s="71"/>
      <c r="C335" s="10" t="s">
        <v>71</v>
      </c>
      <c r="D335" s="13" t="s">
        <v>97</v>
      </c>
      <c r="E335" s="15">
        <v>8428</v>
      </c>
      <c r="F335" s="19">
        <v>4575</v>
      </c>
      <c r="G335" s="43">
        <f t="shared" si="21"/>
        <v>0.49834764</v>
      </c>
      <c r="H335" s="20">
        <v>0.0417106226785714</v>
      </c>
      <c r="I335" s="20">
        <f t="shared" si="22"/>
        <v>0.540058262678571</v>
      </c>
    </row>
    <row r="336" ht="15.75" spans="1:9">
      <c r="A336" s="71"/>
      <c r="B336" s="71"/>
      <c r="C336" s="10"/>
      <c r="D336" s="13" t="s">
        <v>70</v>
      </c>
      <c r="E336" s="15">
        <v>9467</v>
      </c>
      <c r="F336" s="19">
        <v>1101</v>
      </c>
      <c r="G336" s="43">
        <f t="shared" si="21"/>
        <v>0.55978371</v>
      </c>
      <c r="H336" s="20">
        <v>0.0222439733928571</v>
      </c>
      <c r="I336" s="20">
        <f t="shared" si="22"/>
        <v>0.582027683392857</v>
      </c>
    </row>
    <row r="337" ht="15.75" spans="1:9">
      <c r="A337" s="71"/>
      <c r="B337" s="71"/>
      <c r="C337" s="10"/>
      <c r="D337" s="13" t="s">
        <v>73</v>
      </c>
      <c r="E337" s="15">
        <v>10543</v>
      </c>
      <c r="F337" s="19">
        <v>2572</v>
      </c>
      <c r="G337" s="43">
        <f t="shared" si="21"/>
        <v>0.62340759</v>
      </c>
      <c r="H337" s="20">
        <v>0.0208707</v>
      </c>
      <c r="I337" s="20">
        <f t="shared" si="22"/>
        <v>0.64427829</v>
      </c>
    </row>
    <row r="338" ht="15.75" spans="1:9">
      <c r="A338" s="71"/>
      <c r="B338" s="71"/>
      <c r="C338" s="10"/>
      <c r="D338" s="13" t="s">
        <v>71</v>
      </c>
      <c r="E338" s="15">
        <v>48567</v>
      </c>
      <c r="F338" s="19">
        <v>2977</v>
      </c>
      <c r="G338" s="43">
        <f t="shared" si="21"/>
        <v>2.87176671</v>
      </c>
      <c r="H338" s="20">
        <v>0.0380773866071428</v>
      </c>
      <c r="I338" s="20">
        <f t="shared" si="22"/>
        <v>2.90984409660714</v>
      </c>
    </row>
    <row r="339" ht="15.75" spans="1:9">
      <c r="A339" s="71"/>
      <c r="B339" s="71"/>
      <c r="C339" s="10"/>
      <c r="D339" s="13" t="s">
        <v>69</v>
      </c>
      <c r="E339" s="15">
        <v>5701</v>
      </c>
      <c r="F339" s="19">
        <v>4275</v>
      </c>
      <c r="G339" s="43">
        <f t="shared" si="21"/>
        <v>0.33710013</v>
      </c>
      <c r="H339" s="20">
        <v>0.0531661216071429</v>
      </c>
      <c r="I339" s="20">
        <f t="shared" si="22"/>
        <v>0.390266251607143</v>
      </c>
    </row>
    <row r="340" ht="15.75" spans="1:9">
      <c r="A340" s="71"/>
      <c r="B340" s="71"/>
      <c r="C340" s="10" t="s">
        <v>80</v>
      </c>
      <c r="D340" s="13" t="s">
        <v>75</v>
      </c>
      <c r="E340" s="15">
        <v>13457</v>
      </c>
      <c r="F340" s="19">
        <v>6537</v>
      </c>
      <c r="G340" s="43">
        <f t="shared" si="21"/>
        <v>0.79571241</v>
      </c>
      <c r="H340" s="20">
        <v>0.0279418841071429</v>
      </c>
      <c r="I340" s="20">
        <f t="shared" si="22"/>
        <v>0.823654294107143</v>
      </c>
    </row>
    <row r="341" ht="15.75" spans="1:9">
      <c r="A341" s="71"/>
      <c r="B341" s="71"/>
      <c r="C341" s="10" t="s">
        <v>45</v>
      </c>
      <c r="D341" s="13" t="s">
        <v>45</v>
      </c>
      <c r="E341" s="15">
        <v>61140</v>
      </c>
      <c r="F341" s="19">
        <v>7706</v>
      </c>
      <c r="G341" s="43">
        <f t="shared" si="21"/>
        <v>3.6152082</v>
      </c>
      <c r="H341" s="20">
        <v>0.1334357875</v>
      </c>
      <c r="I341" s="20">
        <f t="shared" si="22"/>
        <v>3.7486439875</v>
      </c>
    </row>
    <row r="342" ht="15.75" spans="1:9">
      <c r="A342" s="71"/>
      <c r="B342" s="71"/>
      <c r="C342" s="10" t="s">
        <v>60</v>
      </c>
      <c r="D342" s="151" t="s">
        <v>64</v>
      </c>
      <c r="E342" s="15">
        <v>6180</v>
      </c>
      <c r="F342" s="19">
        <v>2005</v>
      </c>
      <c r="G342" s="43">
        <f t="shared" si="21"/>
        <v>0.3654234</v>
      </c>
      <c r="H342" s="20">
        <v>0.0250000753571429</v>
      </c>
      <c r="I342" s="20">
        <f t="shared" si="22"/>
        <v>0.390423475357143</v>
      </c>
    </row>
    <row r="343" ht="15.75" spans="1:9">
      <c r="A343" s="71"/>
      <c r="B343" s="71"/>
      <c r="C343" s="10"/>
      <c r="D343" s="151" t="s">
        <v>62</v>
      </c>
      <c r="E343" s="15">
        <v>4972</v>
      </c>
      <c r="F343" s="19">
        <v>805</v>
      </c>
      <c r="G343" s="43">
        <f t="shared" si="21"/>
        <v>0.29399436</v>
      </c>
      <c r="H343" s="20">
        <v>0.0180400728571429</v>
      </c>
      <c r="I343" s="20">
        <f t="shared" si="22"/>
        <v>0.312034432857143</v>
      </c>
    </row>
    <row r="344" ht="15.75" spans="1:9">
      <c r="A344" s="71"/>
      <c r="B344" s="71"/>
      <c r="C344" s="10"/>
      <c r="D344" s="125" t="s">
        <v>98</v>
      </c>
      <c r="E344" s="15">
        <v>7578</v>
      </c>
      <c r="F344" s="19">
        <v>1666</v>
      </c>
      <c r="G344" s="43">
        <f>E344*(162*365)/POWER(10,9)</f>
        <v>0.44808714</v>
      </c>
      <c r="H344" s="20">
        <v>0.0279379082142857</v>
      </c>
      <c r="I344" s="20">
        <f t="shared" si="22"/>
        <v>0.476025048214286</v>
      </c>
    </row>
    <row r="345" ht="15.75" spans="1:9">
      <c r="A345" s="71"/>
      <c r="B345" s="71"/>
      <c r="C345" s="10"/>
      <c r="D345" s="151" t="s">
        <v>63</v>
      </c>
      <c r="E345" s="15">
        <v>16479</v>
      </c>
      <c r="F345" s="19">
        <v>12300</v>
      </c>
      <c r="G345" s="43">
        <f t="shared" si="21"/>
        <v>0.97440327</v>
      </c>
      <c r="H345" s="20">
        <v>0.110398525714286</v>
      </c>
      <c r="I345" s="20">
        <f t="shared" si="22"/>
        <v>1.08480179571429</v>
      </c>
    </row>
    <row r="346" ht="15.75" spans="1:9">
      <c r="A346" s="71"/>
      <c r="B346" s="71"/>
      <c r="C346" s="10" t="s">
        <v>27</v>
      </c>
      <c r="D346" s="13" t="s">
        <v>30</v>
      </c>
      <c r="E346" s="15">
        <v>21447</v>
      </c>
      <c r="F346" s="19">
        <v>2890</v>
      </c>
      <c r="G346" s="43">
        <f t="shared" si="21"/>
        <v>1.26816111</v>
      </c>
      <c r="H346" s="20">
        <v>0.0626350167857143</v>
      </c>
      <c r="I346" s="20">
        <f t="shared" si="22"/>
        <v>1.33079612678571</v>
      </c>
    </row>
    <row r="347" ht="15.75" spans="1:9">
      <c r="A347" s="71"/>
      <c r="B347" s="71"/>
      <c r="C347" s="10"/>
      <c r="D347" s="13" t="s">
        <v>99</v>
      </c>
      <c r="E347" s="15">
        <v>4412</v>
      </c>
      <c r="F347" s="15" t="s">
        <v>29</v>
      </c>
      <c r="G347" s="43">
        <f t="shared" si="21"/>
        <v>0.26088156</v>
      </c>
      <c r="H347" s="15" t="s">
        <v>29</v>
      </c>
      <c r="I347" s="20">
        <f>G347</f>
        <v>0.26088156</v>
      </c>
    </row>
    <row r="348" ht="15.75" spans="1:9">
      <c r="A348" s="71"/>
      <c r="B348" s="71"/>
      <c r="C348" s="10"/>
      <c r="D348" s="151" t="s">
        <v>85</v>
      </c>
      <c r="E348" s="15">
        <v>33112</v>
      </c>
      <c r="F348" s="19">
        <v>2649</v>
      </c>
      <c r="G348" s="43">
        <f t="shared" si="21"/>
        <v>1.95791256</v>
      </c>
      <c r="H348" s="20">
        <v>0.0896697716071428</v>
      </c>
      <c r="I348" s="20">
        <f>G348+H348</f>
        <v>2.04758233160714</v>
      </c>
    </row>
    <row r="349" ht="15.75" spans="1:9">
      <c r="A349" s="71"/>
      <c r="B349" s="71"/>
      <c r="C349" s="10"/>
      <c r="D349" s="13" t="s">
        <v>100</v>
      </c>
      <c r="E349" s="15">
        <v>21243</v>
      </c>
      <c r="F349" s="42" t="s">
        <v>29</v>
      </c>
      <c r="G349" s="43">
        <f t="shared" si="21"/>
        <v>1.25609859</v>
      </c>
      <c r="H349" s="42" t="s">
        <v>29</v>
      </c>
      <c r="I349" s="20">
        <f t="shared" ref="I349:I350" si="23">G349</f>
        <v>1.25609859</v>
      </c>
    </row>
    <row r="350" ht="15.75" spans="1:9">
      <c r="A350" s="71"/>
      <c r="B350" s="71"/>
      <c r="C350" s="10"/>
      <c r="D350" s="13" t="s">
        <v>101</v>
      </c>
      <c r="E350" s="15">
        <v>9121</v>
      </c>
      <c r="F350" s="42" t="s">
        <v>29</v>
      </c>
      <c r="G350" s="43">
        <f t="shared" si="21"/>
        <v>0.53932473</v>
      </c>
      <c r="H350" s="42" t="s">
        <v>29</v>
      </c>
      <c r="I350" s="20">
        <f t="shared" si="23"/>
        <v>0.53932473</v>
      </c>
    </row>
    <row r="351" ht="15.75" spans="1:9">
      <c r="A351" s="86"/>
      <c r="B351" s="87"/>
      <c r="C351" s="87"/>
      <c r="D351" s="87"/>
      <c r="E351" s="87"/>
      <c r="F351" s="87"/>
      <c r="G351" s="87"/>
      <c r="H351" s="87"/>
      <c r="I351" s="87"/>
    </row>
    <row r="352" ht="18.75" spans="1:9">
      <c r="A352" s="39" t="s">
        <v>102</v>
      </c>
      <c r="B352" s="39"/>
      <c r="C352" s="39"/>
      <c r="D352" s="39"/>
      <c r="E352" s="39"/>
      <c r="F352" s="39"/>
      <c r="G352" s="39"/>
      <c r="H352" s="39"/>
      <c r="I352" s="39"/>
    </row>
    <row r="353" ht="15.75" spans="1:9">
      <c r="A353" s="40" t="s">
        <v>7</v>
      </c>
      <c r="B353" s="40"/>
      <c r="C353" s="40"/>
      <c r="D353" s="4"/>
      <c r="E353" s="4"/>
      <c r="G353" s="35" t="s">
        <v>8</v>
      </c>
      <c r="H353" s="35"/>
      <c r="I353" s="35"/>
    </row>
    <row r="354" ht="47.25" spans="1:9">
      <c r="A354" s="9" t="s">
        <v>103</v>
      </c>
      <c r="B354" s="10" t="s">
        <v>104</v>
      </c>
      <c r="C354" s="9" t="s">
        <v>11</v>
      </c>
      <c r="D354" s="9" t="s">
        <v>12</v>
      </c>
      <c r="E354" s="10" t="s">
        <v>13</v>
      </c>
      <c r="F354" s="10" t="s">
        <v>84</v>
      </c>
      <c r="G354" s="10" t="s">
        <v>15</v>
      </c>
      <c r="H354" s="10" t="s">
        <v>16</v>
      </c>
      <c r="I354" s="10" t="s">
        <v>17</v>
      </c>
    </row>
    <row r="355" ht="15.75" spans="1:9">
      <c r="A355" s="9" t="s">
        <v>18</v>
      </c>
      <c r="B355" s="10" t="s">
        <v>19</v>
      </c>
      <c r="C355" s="9" t="s">
        <v>20</v>
      </c>
      <c r="D355" s="10" t="s">
        <v>21</v>
      </c>
      <c r="E355" s="10" t="s">
        <v>22</v>
      </c>
      <c r="F355" s="10" t="s">
        <v>23</v>
      </c>
      <c r="G355" s="10" t="s">
        <v>24</v>
      </c>
      <c r="H355" s="10" t="s">
        <v>25</v>
      </c>
      <c r="I355" s="10" t="s">
        <v>26</v>
      </c>
    </row>
    <row r="356" ht="15.75" spans="1:9">
      <c r="A356" s="70">
        <v>1</v>
      </c>
      <c r="B356" s="70">
        <v>2025</v>
      </c>
      <c r="C356" s="98" t="s">
        <v>78</v>
      </c>
      <c r="D356" s="164" t="s">
        <v>67</v>
      </c>
      <c r="E356" s="163">
        <v>357.830047883005</v>
      </c>
      <c r="F356" s="19">
        <v>292</v>
      </c>
      <c r="G356" s="214">
        <f t="shared" ref="G356:G419" si="24">E356*(65.19*365)/POWER(10,9)</f>
        <v>0.00851433339984498</v>
      </c>
      <c r="H356" s="20">
        <v>0.00544663528425</v>
      </c>
      <c r="I356" s="76">
        <f t="shared" ref="I356:I419" si="25">G356+H356</f>
        <v>0.013960968684095</v>
      </c>
    </row>
    <row r="357" ht="15.75" spans="1:9">
      <c r="A357" s="83"/>
      <c r="B357" s="83"/>
      <c r="C357" s="99"/>
      <c r="D357" s="164" t="s">
        <v>66</v>
      </c>
      <c r="E357" s="163">
        <v>10165.0239528246</v>
      </c>
      <c r="F357" s="19">
        <v>10991</v>
      </c>
      <c r="G357" s="214">
        <f t="shared" si="24"/>
        <v>0.241870137691892</v>
      </c>
      <c r="H357" s="20">
        <v>0.163762180606411</v>
      </c>
      <c r="I357" s="76">
        <f t="shared" si="25"/>
        <v>0.405632318298303</v>
      </c>
    </row>
    <row r="358" ht="15.75" spans="1:9">
      <c r="A358" s="83"/>
      <c r="B358" s="83"/>
      <c r="C358" s="98" t="s">
        <v>79</v>
      </c>
      <c r="D358" s="164" t="s">
        <v>33</v>
      </c>
      <c r="E358" s="163">
        <v>54748.1118094324</v>
      </c>
      <c r="F358" s="19">
        <v>15604</v>
      </c>
      <c r="G358" s="214">
        <f t="shared" si="24"/>
        <v>1.30269573423277</v>
      </c>
      <c r="H358" s="20">
        <v>0.550517383892786</v>
      </c>
      <c r="I358" s="76">
        <f t="shared" si="25"/>
        <v>1.85321311812555</v>
      </c>
    </row>
    <row r="359" ht="15.75" spans="1:9">
      <c r="A359" s="83"/>
      <c r="B359" s="83"/>
      <c r="C359" s="101"/>
      <c r="D359" s="164" t="s">
        <v>35</v>
      </c>
      <c r="E359" s="163">
        <v>225371.924315367</v>
      </c>
      <c r="F359" s="19">
        <v>114172</v>
      </c>
      <c r="G359" s="214">
        <f t="shared" si="24"/>
        <v>5.36257844733335</v>
      </c>
      <c r="H359" s="20">
        <v>3.05013266869143</v>
      </c>
      <c r="I359" s="76">
        <f t="shared" si="25"/>
        <v>8.41271111602478</v>
      </c>
    </row>
    <row r="360" ht="15.75" spans="1:9">
      <c r="A360" s="83"/>
      <c r="B360" s="83"/>
      <c r="C360" s="101"/>
      <c r="D360" s="164" t="s">
        <v>34</v>
      </c>
      <c r="E360" s="163">
        <v>273730.668385026</v>
      </c>
      <c r="F360" s="19">
        <v>141130</v>
      </c>
      <c r="G360" s="214">
        <f t="shared" si="24"/>
        <v>6.51324332928724</v>
      </c>
      <c r="H360" s="20">
        <v>1.7430665927705</v>
      </c>
      <c r="I360" s="76">
        <f t="shared" si="25"/>
        <v>8.25630992205774</v>
      </c>
    </row>
    <row r="361" ht="15.75" spans="1:9">
      <c r="A361" s="83"/>
      <c r="B361" s="83"/>
      <c r="C361" s="99"/>
      <c r="D361" s="164" t="s">
        <v>32</v>
      </c>
      <c r="E361" s="163">
        <v>105912.5070383</v>
      </c>
      <c r="F361" s="19">
        <v>58810</v>
      </c>
      <c r="G361" s="214">
        <f t="shared" si="24"/>
        <v>2.52011926184677</v>
      </c>
      <c r="H361" s="20">
        <v>1.628572176335</v>
      </c>
      <c r="I361" s="76">
        <f t="shared" si="25"/>
        <v>4.14869143818177</v>
      </c>
    </row>
    <row r="362" ht="15.75" spans="1:9">
      <c r="A362" s="83"/>
      <c r="B362" s="83"/>
      <c r="C362" s="98" t="s">
        <v>37</v>
      </c>
      <c r="D362" s="164" t="s">
        <v>37</v>
      </c>
      <c r="E362" s="163">
        <v>77886.6346174957</v>
      </c>
      <c r="F362" s="19">
        <v>161469</v>
      </c>
      <c r="G362" s="214">
        <f t="shared" si="24"/>
        <v>1.85326184441081</v>
      </c>
      <c r="H362" s="20">
        <v>1.38835865176661</v>
      </c>
      <c r="I362" s="76">
        <f t="shared" si="25"/>
        <v>3.24162049617742</v>
      </c>
    </row>
    <row r="363" ht="15.75" spans="1:9">
      <c r="A363" s="83"/>
      <c r="B363" s="83"/>
      <c r="C363" s="101"/>
      <c r="D363" s="164" t="s">
        <v>39</v>
      </c>
      <c r="E363" s="163">
        <v>50558.793967102</v>
      </c>
      <c r="F363" s="19">
        <v>44024</v>
      </c>
      <c r="G363" s="214">
        <f t="shared" si="24"/>
        <v>1.20301363923111</v>
      </c>
      <c r="H363" s="20">
        <v>1.40276978447196</v>
      </c>
      <c r="I363" s="76">
        <f t="shared" si="25"/>
        <v>2.60578342370307</v>
      </c>
    </row>
    <row r="364" ht="15.75" spans="1:9">
      <c r="A364" s="83"/>
      <c r="B364" s="83"/>
      <c r="C364" s="101"/>
      <c r="D364" s="164" t="s">
        <v>36</v>
      </c>
      <c r="E364" s="163">
        <v>92566.4139850374</v>
      </c>
      <c r="F364" s="19">
        <v>77744</v>
      </c>
      <c r="G364" s="214">
        <f t="shared" si="24"/>
        <v>2.20255765260487</v>
      </c>
      <c r="H364" s="20">
        <v>1.54445264572357</v>
      </c>
      <c r="I364" s="76">
        <f t="shared" si="25"/>
        <v>3.74701029832844</v>
      </c>
    </row>
    <row r="365" ht="15.75" spans="1:9">
      <c r="A365" s="83"/>
      <c r="B365" s="83"/>
      <c r="C365" s="99"/>
      <c r="D365" s="164" t="s">
        <v>38</v>
      </c>
      <c r="E365" s="163">
        <v>208208.849578418</v>
      </c>
      <c r="F365" s="19">
        <v>102694</v>
      </c>
      <c r="G365" s="214">
        <f t="shared" si="24"/>
        <v>4.95419423996623</v>
      </c>
      <c r="H365" s="20">
        <v>1.75866900009454</v>
      </c>
      <c r="I365" s="76">
        <f t="shared" si="25"/>
        <v>6.71286324006077</v>
      </c>
    </row>
    <row r="366" ht="15.75" spans="1:9">
      <c r="A366" s="83"/>
      <c r="B366" s="83"/>
      <c r="C366" s="98" t="s">
        <v>42</v>
      </c>
      <c r="D366" s="164" t="s">
        <v>41</v>
      </c>
      <c r="E366" s="163">
        <v>111352.316541818</v>
      </c>
      <c r="F366" s="19">
        <v>209301</v>
      </c>
      <c r="G366" s="214">
        <f t="shared" si="24"/>
        <v>2.64955599310681</v>
      </c>
      <c r="H366" s="20">
        <v>1.94178604612039</v>
      </c>
      <c r="I366" s="76">
        <f t="shared" si="25"/>
        <v>4.5913420392272</v>
      </c>
    </row>
    <row r="367" ht="15.75" spans="1:9">
      <c r="A367" s="83"/>
      <c r="B367" s="83"/>
      <c r="C367" s="101"/>
      <c r="D367" s="164" t="s">
        <v>42</v>
      </c>
      <c r="E367" s="163">
        <v>5390.98747385655</v>
      </c>
      <c r="F367" s="19">
        <v>4851</v>
      </c>
      <c r="G367" s="214">
        <f t="shared" si="24"/>
        <v>0.128275042798559</v>
      </c>
      <c r="H367" s="20">
        <v>0.11252854881</v>
      </c>
      <c r="I367" s="76">
        <f t="shared" si="25"/>
        <v>0.240803591608559</v>
      </c>
    </row>
    <row r="368" ht="15.75" spans="1:9">
      <c r="A368" s="83"/>
      <c r="B368" s="83"/>
      <c r="C368" s="99"/>
      <c r="D368" s="164" t="s">
        <v>40</v>
      </c>
      <c r="E368" s="163">
        <v>66079.7839159115</v>
      </c>
      <c r="F368" s="19">
        <v>81887</v>
      </c>
      <c r="G368" s="214">
        <f t="shared" si="24"/>
        <v>1.57232550641957</v>
      </c>
      <c r="H368" s="20">
        <v>1.5556896813325</v>
      </c>
      <c r="I368" s="76">
        <f t="shared" si="25"/>
        <v>3.12801518775207</v>
      </c>
    </row>
    <row r="369" ht="15.75" spans="1:9">
      <c r="A369" s="83"/>
      <c r="B369" s="83"/>
      <c r="C369" s="98" t="s">
        <v>76</v>
      </c>
      <c r="D369" s="164" t="s">
        <v>57</v>
      </c>
      <c r="E369" s="163">
        <v>63553.7864432325</v>
      </c>
      <c r="F369" s="19">
        <v>26253</v>
      </c>
      <c r="G369" s="214">
        <f t="shared" si="24"/>
        <v>1.51222103845553</v>
      </c>
      <c r="H369" s="20">
        <v>0.818658045706661</v>
      </c>
      <c r="I369" s="76">
        <f t="shared" si="25"/>
        <v>2.33087908416219</v>
      </c>
    </row>
    <row r="370" ht="15.75" spans="1:9">
      <c r="A370" s="83"/>
      <c r="B370" s="83"/>
      <c r="C370" s="101"/>
      <c r="D370" s="164" t="s">
        <v>55</v>
      </c>
      <c r="E370" s="163">
        <v>25027.9926798117</v>
      </c>
      <c r="F370" s="19">
        <v>28154</v>
      </c>
      <c r="G370" s="214">
        <f t="shared" si="24"/>
        <v>0.595524817620877</v>
      </c>
      <c r="H370" s="20">
        <v>0.4118556778</v>
      </c>
      <c r="I370" s="76">
        <f t="shared" si="25"/>
        <v>1.00738049542088</v>
      </c>
    </row>
    <row r="371" ht="15.75" spans="1:9">
      <c r="A371" s="83"/>
      <c r="B371" s="83"/>
      <c r="C371" s="101"/>
      <c r="D371" s="164" t="s">
        <v>49</v>
      </c>
      <c r="E371" s="163">
        <v>110505.321278281</v>
      </c>
      <c r="F371" s="19">
        <v>141617</v>
      </c>
      <c r="G371" s="214">
        <f t="shared" si="24"/>
        <v>2.62940229135787</v>
      </c>
      <c r="H371" s="20">
        <v>1.43769978086321</v>
      </c>
      <c r="I371" s="76">
        <f t="shared" si="25"/>
        <v>4.06710207222108</v>
      </c>
    </row>
    <row r="372" ht="15.75" spans="1:9">
      <c r="A372" s="83"/>
      <c r="B372" s="83"/>
      <c r="C372" s="101"/>
      <c r="D372" s="164" t="s">
        <v>54</v>
      </c>
      <c r="E372" s="163">
        <v>145021.56415292</v>
      </c>
      <c r="F372" s="19">
        <v>58162</v>
      </c>
      <c r="G372" s="214">
        <f t="shared" si="24"/>
        <v>3.45069385500203</v>
      </c>
      <c r="H372" s="20">
        <v>1.29428780791429</v>
      </c>
      <c r="I372" s="76">
        <f t="shared" si="25"/>
        <v>4.74498166291632</v>
      </c>
    </row>
    <row r="373" ht="15.75" spans="1:9">
      <c r="A373" s="83"/>
      <c r="B373" s="83"/>
      <c r="C373" s="101"/>
      <c r="D373" s="164" t="s">
        <v>53</v>
      </c>
      <c r="E373" s="163">
        <v>195917.062893837</v>
      </c>
      <c r="F373" s="19">
        <v>67845</v>
      </c>
      <c r="G373" s="214">
        <f t="shared" si="24"/>
        <v>4.66171916546797</v>
      </c>
      <c r="H373" s="20">
        <v>2.44968258714286</v>
      </c>
      <c r="I373" s="76">
        <f t="shared" si="25"/>
        <v>7.11140175261083</v>
      </c>
    </row>
    <row r="374" ht="15.75" spans="1:9">
      <c r="A374" s="83"/>
      <c r="B374" s="83"/>
      <c r="C374" s="101"/>
      <c r="D374" s="164" t="s">
        <v>51</v>
      </c>
      <c r="E374" s="163">
        <v>144413.791444588</v>
      </c>
      <c r="F374" s="19">
        <v>45755</v>
      </c>
      <c r="G374" s="214">
        <f t="shared" si="24"/>
        <v>3.43623229845953</v>
      </c>
      <c r="H374" s="20">
        <v>1.54835461093452</v>
      </c>
      <c r="I374" s="76">
        <f t="shared" si="25"/>
        <v>4.98458690939405</v>
      </c>
    </row>
    <row r="375" ht="15.75" spans="1:9">
      <c r="A375" s="83"/>
      <c r="B375" s="83"/>
      <c r="C375" s="101"/>
      <c r="D375" s="164" t="s">
        <v>50</v>
      </c>
      <c r="E375" s="163">
        <v>169962.10752218</v>
      </c>
      <c r="F375" s="19">
        <v>89146</v>
      </c>
      <c r="G375" s="214">
        <f t="shared" si="24"/>
        <v>4.04413787312038</v>
      </c>
      <c r="H375" s="20">
        <v>2.79164502933172</v>
      </c>
      <c r="I375" s="76">
        <f t="shared" si="25"/>
        <v>6.8357829024521</v>
      </c>
    </row>
    <row r="376" ht="15.75" spans="1:9">
      <c r="A376" s="83"/>
      <c r="B376" s="83"/>
      <c r="C376" s="101"/>
      <c r="D376" s="164" t="s">
        <v>52</v>
      </c>
      <c r="E376" s="163">
        <v>101449.945170683</v>
      </c>
      <c r="F376" s="19">
        <v>44287</v>
      </c>
      <c r="G376" s="214">
        <f t="shared" si="24"/>
        <v>2.41393550287204</v>
      </c>
      <c r="H376" s="20">
        <v>0.984252526271357</v>
      </c>
      <c r="I376" s="76">
        <f t="shared" si="25"/>
        <v>3.3981880291434</v>
      </c>
    </row>
    <row r="377" ht="15.75" spans="1:9">
      <c r="A377" s="83"/>
      <c r="B377" s="83"/>
      <c r="C377" s="99"/>
      <c r="D377" s="164" t="s">
        <v>56</v>
      </c>
      <c r="E377" s="163">
        <v>170290.042436748</v>
      </c>
      <c r="F377" s="19">
        <v>202005</v>
      </c>
      <c r="G377" s="214">
        <f t="shared" si="24"/>
        <v>4.05194087125483</v>
      </c>
      <c r="H377" s="20">
        <v>1.89481309375</v>
      </c>
      <c r="I377" s="76">
        <f t="shared" si="25"/>
        <v>5.94675396500483</v>
      </c>
    </row>
    <row r="378" ht="15.75" spans="1:9">
      <c r="A378" s="83"/>
      <c r="B378" s="83"/>
      <c r="C378" s="98" t="s">
        <v>71</v>
      </c>
      <c r="D378" s="164" t="s">
        <v>72</v>
      </c>
      <c r="E378" s="163">
        <v>6359.59937569069</v>
      </c>
      <c r="F378" s="19">
        <v>21799</v>
      </c>
      <c r="G378" s="214">
        <f t="shared" si="24"/>
        <v>0.151322533404966</v>
      </c>
      <c r="H378" s="20">
        <v>0.162786447173429</v>
      </c>
      <c r="I378" s="76">
        <f t="shared" si="25"/>
        <v>0.314108980578395</v>
      </c>
    </row>
    <row r="379" ht="15.75" spans="1:9">
      <c r="A379" s="83"/>
      <c r="B379" s="83"/>
      <c r="C379" s="101"/>
      <c r="D379" s="164" t="s">
        <v>70</v>
      </c>
      <c r="E379" s="163">
        <v>27961.4141647042</v>
      </c>
      <c r="F379" s="19">
        <v>102119</v>
      </c>
      <c r="G379" s="214">
        <f t="shared" si="24"/>
        <v>0.665323675129929</v>
      </c>
      <c r="H379" s="20">
        <v>0.506573656315</v>
      </c>
      <c r="I379" s="76">
        <f t="shared" si="25"/>
        <v>1.17189733144493</v>
      </c>
    </row>
    <row r="380" ht="15.75" spans="1:9">
      <c r="A380" s="83"/>
      <c r="B380" s="83"/>
      <c r="C380" s="101"/>
      <c r="D380" s="164" t="s">
        <v>73</v>
      </c>
      <c r="E380" s="163">
        <v>68433.7961974413</v>
      </c>
      <c r="F380" s="19">
        <v>164440</v>
      </c>
      <c r="G380" s="214">
        <f t="shared" si="24"/>
        <v>1.62833769855059</v>
      </c>
      <c r="H380" s="20">
        <v>1.8494982145035</v>
      </c>
      <c r="I380" s="76">
        <f t="shared" si="25"/>
        <v>3.47783591305409</v>
      </c>
    </row>
    <row r="381" ht="15.75" spans="1:9">
      <c r="A381" s="83"/>
      <c r="B381" s="83"/>
      <c r="C381" s="101"/>
      <c r="D381" s="164" t="s">
        <v>71</v>
      </c>
      <c r="E381" s="163">
        <v>89730.3958560673</v>
      </c>
      <c r="F381" s="19">
        <v>178462</v>
      </c>
      <c r="G381" s="214">
        <f t="shared" si="24"/>
        <v>2.13507644463782</v>
      </c>
      <c r="H381" s="20">
        <v>1.23521231207375</v>
      </c>
      <c r="I381" s="76">
        <f t="shared" si="25"/>
        <v>3.37028875671156</v>
      </c>
    </row>
    <row r="382" ht="15.75" spans="1:9">
      <c r="A382" s="83"/>
      <c r="B382" s="83"/>
      <c r="C382" s="99"/>
      <c r="D382" s="164" t="s">
        <v>69</v>
      </c>
      <c r="E382" s="163">
        <v>131336.637835805</v>
      </c>
      <c r="F382" s="19">
        <v>212115</v>
      </c>
      <c r="G382" s="214">
        <f t="shared" si="24"/>
        <v>3.12506992848839</v>
      </c>
      <c r="H382" s="20">
        <v>1.80697898535714</v>
      </c>
      <c r="I382" s="76">
        <f t="shared" si="25"/>
        <v>4.93204891384553</v>
      </c>
    </row>
    <row r="383" ht="15.75" spans="1:9">
      <c r="A383" s="83"/>
      <c r="B383" s="83"/>
      <c r="C383" s="98" t="s">
        <v>80</v>
      </c>
      <c r="D383" s="164" t="s">
        <v>74</v>
      </c>
      <c r="E383" s="163">
        <v>9494.92350986734</v>
      </c>
      <c r="F383" s="19">
        <v>29403</v>
      </c>
      <c r="G383" s="214">
        <f t="shared" si="24"/>
        <v>0.225925533217012</v>
      </c>
      <c r="H383" s="20">
        <v>0.259817677008679</v>
      </c>
      <c r="I383" s="76">
        <f t="shared" si="25"/>
        <v>0.485743210225691</v>
      </c>
    </row>
    <row r="384" ht="15.75" spans="1:9">
      <c r="A384" s="83"/>
      <c r="B384" s="83"/>
      <c r="C384" s="99"/>
      <c r="D384" s="164" t="s">
        <v>75</v>
      </c>
      <c r="E384" s="163">
        <v>32724.5540538976</v>
      </c>
      <c r="F384" s="19">
        <v>63735</v>
      </c>
      <c r="G384" s="214">
        <f t="shared" si="24"/>
        <v>0.778659492752358</v>
      </c>
      <c r="H384" s="20">
        <v>0.206416749225143</v>
      </c>
      <c r="I384" s="76">
        <f t="shared" si="25"/>
        <v>0.985076241977501</v>
      </c>
    </row>
    <row r="385" ht="15.75" spans="1:9">
      <c r="A385" s="83"/>
      <c r="B385" s="83"/>
      <c r="C385" s="98" t="s">
        <v>58</v>
      </c>
      <c r="D385" s="164" t="s">
        <v>59</v>
      </c>
      <c r="E385" s="163">
        <v>36635.4459628666</v>
      </c>
      <c r="F385" s="19">
        <v>59554</v>
      </c>
      <c r="G385" s="214">
        <f t="shared" si="24"/>
        <v>0.871716623646535</v>
      </c>
      <c r="H385" s="20">
        <v>1.06247363758993</v>
      </c>
      <c r="I385" s="76">
        <f t="shared" si="25"/>
        <v>1.93419026123646</v>
      </c>
    </row>
    <row r="386" ht="15.75" spans="1:9">
      <c r="A386" s="83"/>
      <c r="B386" s="83"/>
      <c r="C386" s="99"/>
      <c r="D386" s="164" t="s">
        <v>58</v>
      </c>
      <c r="E386" s="163">
        <v>1532.22221146887</v>
      </c>
      <c r="F386" s="19">
        <v>333</v>
      </c>
      <c r="G386" s="214">
        <f t="shared" si="24"/>
        <v>0.0364582315774643</v>
      </c>
      <c r="H386" s="20">
        <v>0.00922641212142858</v>
      </c>
      <c r="I386" s="76">
        <f t="shared" si="25"/>
        <v>0.0456846436988929</v>
      </c>
    </row>
    <row r="387" ht="15.75" spans="1:9">
      <c r="A387" s="83"/>
      <c r="B387" s="83"/>
      <c r="C387" s="98" t="s">
        <v>45</v>
      </c>
      <c r="D387" s="164" t="s">
        <v>46</v>
      </c>
      <c r="E387" s="163">
        <v>99088.1812556058</v>
      </c>
      <c r="F387" s="19">
        <v>351136</v>
      </c>
      <c r="G387" s="214">
        <f t="shared" si="24"/>
        <v>2.35773886565932</v>
      </c>
      <c r="H387" s="20">
        <v>1.27958828004018</v>
      </c>
      <c r="I387" s="76">
        <f t="shared" si="25"/>
        <v>3.6373271456995</v>
      </c>
    </row>
    <row r="388" ht="15.75" spans="1:9">
      <c r="A388" s="83"/>
      <c r="B388" s="83"/>
      <c r="C388" s="101"/>
      <c r="D388" s="164" t="s">
        <v>47</v>
      </c>
      <c r="E388" s="163">
        <v>39102.9711056557</v>
      </c>
      <c r="F388" s="19">
        <v>38481</v>
      </c>
      <c r="G388" s="214">
        <f t="shared" si="24"/>
        <v>0.930429780527859</v>
      </c>
      <c r="H388" s="20">
        <v>0.312086483765571</v>
      </c>
      <c r="I388" s="76">
        <f t="shared" si="25"/>
        <v>1.24251626429343</v>
      </c>
    </row>
    <row r="389" ht="15.75" spans="1:9">
      <c r="A389" s="83"/>
      <c r="B389" s="83"/>
      <c r="C389" s="101"/>
      <c r="D389" s="164" t="s">
        <v>45</v>
      </c>
      <c r="E389" s="163">
        <v>216627.328740647</v>
      </c>
      <c r="F389" s="19">
        <v>605918</v>
      </c>
      <c r="G389" s="214">
        <f t="shared" si="24"/>
        <v>5.15450647962001</v>
      </c>
      <c r="H389" s="20">
        <v>3.06243354203168</v>
      </c>
      <c r="I389" s="76">
        <f t="shared" si="25"/>
        <v>8.21694002165169</v>
      </c>
    </row>
    <row r="390" ht="15.75" spans="1:9">
      <c r="A390" s="83"/>
      <c r="B390" s="83"/>
      <c r="C390" s="101"/>
      <c r="D390" s="164" t="s">
        <v>43</v>
      </c>
      <c r="E390" s="163">
        <v>2138.87542140568</v>
      </c>
      <c r="F390" s="19">
        <v>1715</v>
      </c>
      <c r="G390" s="214">
        <f t="shared" si="24"/>
        <v>0.0508931503833242</v>
      </c>
      <c r="H390" s="20">
        <v>0.0215255369057143</v>
      </c>
      <c r="I390" s="76">
        <f t="shared" si="25"/>
        <v>0.0724186872890385</v>
      </c>
    </row>
    <row r="391" ht="15.75" spans="1:9">
      <c r="A391" s="83"/>
      <c r="B391" s="83"/>
      <c r="C391" s="99"/>
      <c r="D391" s="164" t="s">
        <v>44</v>
      </c>
      <c r="E391" s="163">
        <v>108108.755960738</v>
      </c>
      <c r="F391" s="19">
        <v>90601</v>
      </c>
      <c r="G391" s="214">
        <f t="shared" si="24"/>
        <v>2.57237757739439</v>
      </c>
      <c r="H391" s="20">
        <v>0.730702036878107</v>
      </c>
      <c r="I391" s="76">
        <f t="shared" si="25"/>
        <v>3.30307961427249</v>
      </c>
    </row>
    <row r="392" ht="15.75" spans="1:9">
      <c r="A392" s="83"/>
      <c r="B392" s="83"/>
      <c r="C392" s="98" t="s">
        <v>60</v>
      </c>
      <c r="D392" s="164" t="s">
        <v>64</v>
      </c>
      <c r="E392" s="163">
        <v>104355.773987139</v>
      </c>
      <c r="F392" s="19">
        <v>28801</v>
      </c>
      <c r="G392" s="214">
        <f t="shared" si="24"/>
        <v>2.48307781077088</v>
      </c>
      <c r="H392" s="20">
        <v>0.740853972692286</v>
      </c>
      <c r="I392" s="76">
        <f t="shared" si="25"/>
        <v>3.22393178346317</v>
      </c>
    </row>
    <row r="393" ht="15.75" spans="1:9">
      <c r="A393" s="83"/>
      <c r="B393" s="83"/>
      <c r="C393" s="101"/>
      <c r="D393" s="164" t="s">
        <v>61</v>
      </c>
      <c r="E393" s="163">
        <v>34911.640172486</v>
      </c>
      <c r="F393" s="19">
        <v>12189</v>
      </c>
      <c r="G393" s="214">
        <f t="shared" si="24"/>
        <v>0.830699785338192</v>
      </c>
      <c r="H393" s="20">
        <v>0.385990494505625</v>
      </c>
      <c r="I393" s="76">
        <f t="shared" si="25"/>
        <v>1.21669027984382</v>
      </c>
    </row>
    <row r="394" ht="15.75" spans="1:9">
      <c r="A394" s="83"/>
      <c r="B394" s="83"/>
      <c r="C394" s="101"/>
      <c r="D394" s="164" t="s">
        <v>62</v>
      </c>
      <c r="E394" s="163">
        <v>36800.9100991348</v>
      </c>
      <c r="F394" s="19">
        <v>15865</v>
      </c>
      <c r="G394" s="214">
        <f t="shared" si="24"/>
        <v>0.875653735217348</v>
      </c>
      <c r="H394" s="20">
        <v>0.381476321502857</v>
      </c>
      <c r="I394" s="76">
        <f t="shared" si="25"/>
        <v>1.25713005672021</v>
      </c>
    </row>
    <row r="395" ht="15.75" spans="1:9">
      <c r="A395" s="83"/>
      <c r="B395" s="83"/>
      <c r="C395" s="99"/>
      <c r="D395" s="164" t="s">
        <v>63</v>
      </c>
      <c r="E395" s="163">
        <v>197778.771602849</v>
      </c>
      <c r="F395" s="19">
        <v>54009</v>
      </c>
      <c r="G395" s="214">
        <f t="shared" si="24"/>
        <v>4.70601731408825</v>
      </c>
      <c r="H395" s="20">
        <v>1.37700808589286</v>
      </c>
      <c r="I395" s="76">
        <f t="shared" si="25"/>
        <v>6.08302539998111</v>
      </c>
    </row>
    <row r="396" ht="15.75" spans="1:9">
      <c r="A396" s="83"/>
      <c r="B396" s="83"/>
      <c r="C396" s="98" t="s">
        <v>27</v>
      </c>
      <c r="D396" s="164" t="s">
        <v>31</v>
      </c>
      <c r="E396" s="163">
        <v>90002.7826874632</v>
      </c>
      <c r="F396" s="19">
        <v>95721</v>
      </c>
      <c r="G396" s="214">
        <f t="shared" si="24"/>
        <v>2.14155771223944</v>
      </c>
      <c r="H396" s="20">
        <v>1.37160848447732</v>
      </c>
      <c r="I396" s="76">
        <f t="shared" si="25"/>
        <v>3.51316619671676</v>
      </c>
    </row>
    <row r="397" ht="15.75" spans="1:9">
      <c r="A397" s="83"/>
      <c r="B397" s="83"/>
      <c r="C397" s="101"/>
      <c r="D397" s="164" t="s">
        <v>30</v>
      </c>
      <c r="E397" s="163">
        <v>189278.396488776</v>
      </c>
      <c r="F397" s="19">
        <v>315206</v>
      </c>
      <c r="G397" s="214">
        <f t="shared" si="24"/>
        <v>4.50375641349271</v>
      </c>
      <c r="H397" s="20">
        <v>2.9683263424808</v>
      </c>
      <c r="I397" s="76">
        <f t="shared" si="25"/>
        <v>7.47208275597351</v>
      </c>
    </row>
    <row r="398" ht="15.75" spans="1:9">
      <c r="A398" s="84"/>
      <c r="B398" s="84"/>
      <c r="C398" s="101"/>
      <c r="D398" s="164" t="s">
        <v>28</v>
      </c>
      <c r="E398" s="163">
        <v>22025.4882205324</v>
      </c>
      <c r="F398" s="19">
        <v>64916</v>
      </c>
      <c r="G398" s="214">
        <f t="shared" si="24"/>
        <v>0.524082175640225</v>
      </c>
      <c r="H398" s="20">
        <v>0.286946573822875</v>
      </c>
      <c r="I398" s="76">
        <f t="shared" si="25"/>
        <v>0.8110287494631</v>
      </c>
    </row>
    <row r="399" ht="15.75" spans="1:9">
      <c r="A399" s="71">
        <v>2</v>
      </c>
      <c r="B399" s="71">
        <v>2050</v>
      </c>
      <c r="C399" s="100" t="s">
        <v>78</v>
      </c>
      <c r="D399" s="164" t="s">
        <v>67</v>
      </c>
      <c r="E399" s="42">
        <v>178.748483871919</v>
      </c>
      <c r="F399" s="19">
        <v>418</v>
      </c>
      <c r="G399" s="214">
        <f t="shared" si="24"/>
        <v>0.0042532039872178</v>
      </c>
      <c r="H399" s="20">
        <v>0.00673983028425</v>
      </c>
      <c r="I399" s="76">
        <f t="shared" si="25"/>
        <v>0.0109930342714678</v>
      </c>
    </row>
    <row r="400" ht="15.75" spans="1:9">
      <c r="A400" s="71"/>
      <c r="B400" s="71"/>
      <c r="C400" s="100"/>
      <c r="D400" s="164" t="s">
        <v>66</v>
      </c>
      <c r="E400" s="42">
        <v>5077.78100480599</v>
      </c>
      <c r="F400" s="19">
        <v>19633</v>
      </c>
      <c r="G400" s="214">
        <f t="shared" si="24"/>
        <v>0.120822498451705</v>
      </c>
      <c r="H400" s="20">
        <v>0.111158708656679</v>
      </c>
      <c r="I400" s="76">
        <f t="shared" si="25"/>
        <v>0.231981207108384</v>
      </c>
    </row>
    <row r="401" ht="15.75" spans="1:9">
      <c r="A401" s="71"/>
      <c r="B401" s="71"/>
      <c r="C401" s="100" t="s">
        <v>79</v>
      </c>
      <c r="D401" s="164" t="s">
        <v>33</v>
      </c>
      <c r="E401" s="42">
        <v>96816.054229815</v>
      </c>
      <c r="F401" s="19">
        <v>13178</v>
      </c>
      <c r="G401" s="214">
        <f t="shared" si="24"/>
        <v>2.3036750799632</v>
      </c>
      <c r="H401" s="20">
        <v>0.529084725684857</v>
      </c>
      <c r="I401" s="76">
        <f t="shared" si="25"/>
        <v>2.83275980564806</v>
      </c>
    </row>
    <row r="402" ht="15.75" spans="1:9">
      <c r="A402" s="71"/>
      <c r="B402" s="71"/>
      <c r="C402" s="100"/>
      <c r="D402" s="164" t="s">
        <v>35</v>
      </c>
      <c r="E402" s="42">
        <v>398545.62514127</v>
      </c>
      <c r="F402" s="19">
        <v>94266</v>
      </c>
      <c r="G402" s="214">
        <f t="shared" si="24"/>
        <v>9.48313409558018</v>
      </c>
      <c r="H402" s="20">
        <v>2.24008284490571</v>
      </c>
      <c r="I402" s="76">
        <f t="shared" si="25"/>
        <v>11.7232169404859</v>
      </c>
    </row>
    <row r="403" ht="15.75" spans="1:9">
      <c r="A403" s="71"/>
      <c r="B403" s="71"/>
      <c r="C403" s="100"/>
      <c r="D403" s="164" t="s">
        <v>34</v>
      </c>
      <c r="E403" s="42">
        <v>484062.780593692</v>
      </c>
      <c r="F403" s="19">
        <v>239793</v>
      </c>
      <c r="G403" s="214">
        <f t="shared" si="24"/>
        <v>11.5179592234195</v>
      </c>
      <c r="H403" s="20">
        <v>1.34321976623738</v>
      </c>
      <c r="I403" s="76">
        <f t="shared" si="25"/>
        <v>12.8611789896569</v>
      </c>
    </row>
    <row r="404" ht="15.75" spans="1:9">
      <c r="A404" s="71"/>
      <c r="B404" s="71"/>
      <c r="C404" s="100"/>
      <c r="D404" s="164" t="s">
        <v>32</v>
      </c>
      <c r="E404" s="42">
        <v>187294.697225871</v>
      </c>
      <c r="F404" s="19">
        <v>49892</v>
      </c>
      <c r="G404" s="214">
        <f t="shared" si="24"/>
        <v>4.4565555789364</v>
      </c>
      <c r="H404" s="20">
        <v>0.7440870094725</v>
      </c>
      <c r="I404" s="76">
        <f t="shared" si="25"/>
        <v>5.2006425884089</v>
      </c>
    </row>
    <row r="405" ht="15.75" spans="1:9">
      <c r="A405" s="71"/>
      <c r="B405" s="71"/>
      <c r="C405" s="100" t="s">
        <v>37</v>
      </c>
      <c r="D405" s="164" t="s">
        <v>37</v>
      </c>
      <c r="E405" s="42">
        <v>77803.8050339729</v>
      </c>
      <c r="F405" s="19">
        <v>86874</v>
      </c>
      <c r="G405" s="214">
        <f t="shared" si="24"/>
        <v>1.85129096831011</v>
      </c>
      <c r="H405" s="20">
        <v>0.624959949912857</v>
      </c>
      <c r="I405" s="76">
        <f t="shared" si="25"/>
        <v>2.47625091822297</v>
      </c>
    </row>
    <row r="406" ht="15.75" spans="1:9">
      <c r="A406" s="71"/>
      <c r="B406" s="71"/>
      <c r="C406" s="100"/>
      <c r="D406" s="164" t="s">
        <v>39</v>
      </c>
      <c r="E406" s="42">
        <v>50505.0265413007</v>
      </c>
      <c r="F406" s="19">
        <v>23902</v>
      </c>
      <c r="G406" s="214">
        <f t="shared" si="24"/>
        <v>1.201734278283</v>
      </c>
      <c r="H406" s="20">
        <v>0.319934929960286</v>
      </c>
      <c r="I406" s="76">
        <f t="shared" si="25"/>
        <v>1.52166920824328</v>
      </c>
    </row>
    <row r="407" ht="15.75" spans="1:9">
      <c r="A407" s="71"/>
      <c r="B407" s="71"/>
      <c r="C407" s="100"/>
      <c r="D407" s="164" t="s">
        <v>36</v>
      </c>
      <c r="E407" s="42">
        <v>92467.9729937656</v>
      </c>
      <c r="F407" s="19">
        <v>112016</v>
      </c>
      <c r="G407" s="214">
        <f t="shared" si="24"/>
        <v>2.20021531320421</v>
      </c>
      <c r="H407" s="20">
        <v>1.11939228564786</v>
      </c>
      <c r="I407" s="76">
        <f t="shared" si="25"/>
        <v>3.31960759885207</v>
      </c>
    </row>
    <row r="408" ht="15.75" spans="1:9">
      <c r="A408" s="71"/>
      <c r="B408" s="71"/>
      <c r="C408" s="100"/>
      <c r="D408" s="164" t="s">
        <v>38</v>
      </c>
      <c r="E408" s="42">
        <v>207987.427091993</v>
      </c>
      <c r="F408" s="19">
        <v>114611</v>
      </c>
      <c r="G408" s="214">
        <f t="shared" si="24"/>
        <v>4.94892563582636</v>
      </c>
      <c r="H408" s="20">
        <v>1.20639083410882</v>
      </c>
      <c r="I408" s="76">
        <f t="shared" si="25"/>
        <v>6.15531646993518</v>
      </c>
    </row>
    <row r="409" ht="15.75" spans="1:9">
      <c r="A409" s="71"/>
      <c r="B409" s="71"/>
      <c r="C409" s="100" t="s">
        <v>42</v>
      </c>
      <c r="D409" s="164" t="s">
        <v>41</v>
      </c>
      <c r="E409" s="42">
        <v>123880.633907906</v>
      </c>
      <c r="F409" s="19">
        <v>460008</v>
      </c>
      <c r="G409" s="214">
        <f t="shared" si="24"/>
        <v>2.94765916142658</v>
      </c>
      <c r="H409" s="20">
        <v>1.58585401395789</v>
      </c>
      <c r="I409" s="76">
        <f t="shared" si="25"/>
        <v>4.53351317538447</v>
      </c>
    </row>
    <row r="410" ht="15.75" spans="1:9">
      <c r="A410" s="71"/>
      <c r="B410" s="71"/>
      <c r="C410" s="100"/>
      <c r="D410" s="164" t="s">
        <v>42</v>
      </c>
      <c r="E410" s="42">
        <v>5997.53077790819</v>
      </c>
      <c r="F410" s="19">
        <v>7906</v>
      </c>
      <c r="G410" s="214">
        <f t="shared" si="24"/>
        <v>0.14270734646532</v>
      </c>
      <c r="H410" s="20">
        <v>0.208171103715</v>
      </c>
      <c r="I410" s="76">
        <f t="shared" si="25"/>
        <v>0.35087845018032</v>
      </c>
    </row>
    <row r="411" ht="15.75" spans="1:9">
      <c r="A411" s="71"/>
      <c r="B411" s="71"/>
      <c r="C411" s="100"/>
      <c r="D411" s="164" t="s">
        <v>40</v>
      </c>
      <c r="E411" s="42">
        <v>73514.4608951743</v>
      </c>
      <c r="F411" s="19">
        <v>51437</v>
      </c>
      <c r="G411" s="214">
        <f t="shared" si="24"/>
        <v>1.74922881260109</v>
      </c>
      <c r="H411" s="20">
        <v>0.303603078420447</v>
      </c>
      <c r="I411" s="76">
        <f t="shared" si="25"/>
        <v>2.05283189102154</v>
      </c>
    </row>
    <row r="412" ht="15.75" spans="1:9">
      <c r="A412" s="71"/>
      <c r="B412" s="71"/>
      <c r="C412" s="100" t="s">
        <v>76</v>
      </c>
      <c r="D412" s="164" t="s">
        <v>57</v>
      </c>
      <c r="E412" s="42">
        <v>83754.097518121</v>
      </c>
      <c r="F412" s="19">
        <v>21273</v>
      </c>
      <c r="G412" s="214">
        <f t="shared" si="24"/>
        <v>1.9928743102803</v>
      </c>
      <c r="H412" s="20">
        <v>0.696036472777286</v>
      </c>
      <c r="I412" s="76">
        <f t="shared" si="25"/>
        <v>2.68891078305759</v>
      </c>
    </row>
    <row r="413" ht="15.75" spans="1:9">
      <c r="A413" s="71"/>
      <c r="B413" s="71"/>
      <c r="C413" s="100"/>
      <c r="D413" s="164" t="s">
        <v>55</v>
      </c>
      <c r="E413" s="42">
        <v>32983.0377842259</v>
      </c>
      <c r="F413" s="19">
        <v>47571</v>
      </c>
      <c r="G413" s="214">
        <f t="shared" si="24"/>
        <v>0.784809945101095</v>
      </c>
      <c r="H413" s="20">
        <v>0.349921088756</v>
      </c>
      <c r="I413" s="76">
        <f t="shared" si="25"/>
        <v>1.1347310338571</v>
      </c>
    </row>
    <row r="414" ht="15.75" spans="1:9">
      <c r="A414" s="71"/>
      <c r="B414" s="71"/>
      <c r="C414" s="100"/>
      <c r="D414" s="164" t="s">
        <v>49</v>
      </c>
      <c r="E414" s="42">
        <v>145628.985660507</v>
      </c>
      <c r="F414" s="19">
        <v>275797</v>
      </c>
      <c r="G414" s="214">
        <f t="shared" si="24"/>
        <v>3.46514705495108</v>
      </c>
      <c r="H414" s="20">
        <v>0.551422726435714</v>
      </c>
      <c r="I414" s="76">
        <f t="shared" si="25"/>
        <v>4.0165697813868</v>
      </c>
    </row>
    <row r="415" ht="15.75" spans="1:9">
      <c r="A415" s="71"/>
      <c r="B415" s="71"/>
      <c r="C415" s="100"/>
      <c r="D415" s="164" t="s">
        <v>54</v>
      </c>
      <c r="E415" s="42">
        <v>191116.075155385</v>
      </c>
      <c r="F415" s="19">
        <v>28221</v>
      </c>
      <c r="G415" s="214">
        <f t="shared" si="24"/>
        <v>4.54748278287354</v>
      </c>
      <c r="H415" s="20">
        <v>0.166194441557143</v>
      </c>
      <c r="I415" s="76">
        <f t="shared" si="25"/>
        <v>4.71367722443068</v>
      </c>
    </row>
    <row r="416" ht="15.75" spans="1:9">
      <c r="A416" s="71"/>
      <c r="B416" s="71"/>
      <c r="C416" s="100"/>
      <c r="D416" s="164" t="s">
        <v>53</v>
      </c>
      <c r="E416" s="42">
        <v>258188.499999618</v>
      </c>
      <c r="F416" s="19">
        <v>43557</v>
      </c>
      <c r="G416" s="214">
        <f t="shared" si="24"/>
        <v>6.14342753496591</v>
      </c>
      <c r="H416" s="20">
        <v>1.66760855857143</v>
      </c>
      <c r="I416" s="76">
        <f t="shared" si="25"/>
        <v>7.81103609353734</v>
      </c>
    </row>
    <row r="417" ht="15.75" spans="1:9">
      <c r="A417" s="71"/>
      <c r="B417" s="71"/>
      <c r="C417" s="100"/>
      <c r="D417" s="164" t="s">
        <v>51</v>
      </c>
      <c r="E417" s="42">
        <v>190315.124377606</v>
      </c>
      <c r="F417" s="19">
        <v>13227</v>
      </c>
      <c r="G417" s="214">
        <f t="shared" si="24"/>
        <v>4.52842467973429</v>
      </c>
      <c r="H417" s="20">
        <v>0.530945213508571</v>
      </c>
      <c r="I417" s="76">
        <f t="shared" si="25"/>
        <v>5.05936989324286</v>
      </c>
    </row>
    <row r="418" ht="15.75" spans="1:9">
      <c r="A418" s="71"/>
      <c r="B418" s="71"/>
      <c r="C418" s="100"/>
      <c r="D418" s="164" t="s">
        <v>50</v>
      </c>
      <c r="E418" s="42">
        <v>223983.868223384</v>
      </c>
      <c r="F418" s="19">
        <v>155148</v>
      </c>
      <c r="G418" s="214">
        <f t="shared" si="24"/>
        <v>5.32955055486108</v>
      </c>
      <c r="H418" s="20">
        <v>4.96334059620386</v>
      </c>
      <c r="I418" s="76">
        <f t="shared" si="25"/>
        <v>10.2928911510649</v>
      </c>
    </row>
    <row r="419" ht="15.75" spans="1:9">
      <c r="A419" s="71"/>
      <c r="B419" s="71"/>
      <c r="C419" s="100"/>
      <c r="D419" s="164" t="s">
        <v>52</v>
      </c>
      <c r="E419" s="42">
        <v>133695.39529518</v>
      </c>
      <c r="F419" s="19">
        <v>36749</v>
      </c>
      <c r="G419" s="214">
        <f t="shared" si="24"/>
        <v>3.18119502904187</v>
      </c>
      <c r="H419" s="20">
        <v>0.315545467934929</v>
      </c>
      <c r="I419" s="76">
        <f t="shared" si="25"/>
        <v>3.4967404969768</v>
      </c>
    </row>
    <row r="420" ht="15.75" spans="1:9">
      <c r="A420" s="71"/>
      <c r="B420" s="71"/>
      <c r="C420" s="100"/>
      <c r="D420" s="164" t="s">
        <v>56</v>
      </c>
      <c r="E420" s="42">
        <v>224416.035909236</v>
      </c>
      <c r="F420" s="19">
        <v>293342</v>
      </c>
      <c r="G420" s="214">
        <f t="shared" ref="G420:G441" si="26">E420*(65.19*365)/POWER(10,9)</f>
        <v>5.33983370403693</v>
      </c>
      <c r="H420" s="20">
        <v>1.0462579</v>
      </c>
      <c r="I420" s="76">
        <f t="shared" ref="I420:I441" si="27">G420+H420</f>
        <v>6.38609160403693</v>
      </c>
    </row>
    <row r="421" ht="15.75" spans="1:9">
      <c r="A421" s="71"/>
      <c r="B421" s="71"/>
      <c r="C421" s="100" t="s">
        <v>71</v>
      </c>
      <c r="D421" s="164" t="s">
        <v>72</v>
      </c>
      <c r="E421" s="42">
        <v>3487.0012563583</v>
      </c>
      <c r="F421" s="19">
        <v>10563</v>
      </c>
      <c r="G421" s="214">
        <f t="shared" si="26"/>
        <v>0.0829709283442291</v>
      </c>
      <c r="H421" s="20">
        <v>0.102899871947089</v>
      </c>
      <c r="I421" s="76">
        <f t="shared" si="27"/>
        <v>0.185870800291318</v>
      </c>
    </row>
    <row r="422" ht="15.75" spans="1:9">
      <c r="A422" s="71"/>
      <c r="B422" s="71"/>
      <c r="C422" s="100"/>
      <c r="D422" s="164" t="s">
        <v>70</v>
      </c>
      <c r="E422" s="42">
        <v>15331.3881208577</v>
      </c>
      <c r="F422" s="19">
        <v>60880</v>
      </c>
      <c r="G422" s="214">
        <f t="shared" si="26"/>
        <v>0.36480041493353</v>
      </c>
      <c r="H422" s="20">
        <v>0.50631545787</v>
      </c>
      <c r="I422" s="76">
        <f t="shared" si="27"/>
        <v>0.87111587280353</v>
      </c>
    </row>
    <row r="423" ht="15.75" spans="1:9">
      <c r="A423" s="71"/>
      <c r="B423" s="71"/>
      <c r="C423" s="100"/>
      <c r="D423" s="164" t="s">
        <v>73</v>
      </c>
      <c r="E423" s="42">
        <v>37522.6046832438</v>
      </c>
      <c r="F423" s="19">
        <v>164822</v>
      </c>
      <c r="G423" s="214">
        <f t="shared" si="26"/>
        <v>0.892825988744742</v>
      </c>
      <c r="H423" s="20">
        <v>1.2132710689535</v>
      </c>
      <c r="I423" s="76">
        <f t="shared" si="27"/>
        <v>2.10609705769824</v>
      </c>
    </row>
    <row r="424" ht="15.75" spans="1:9">
      <c r="A424" s="71"/>
      <c r="B424" s="71"/>
      <c r="C424" s="100"/>
      <c r="D424" s="164" t="s">
        <v>71</v>
      </c>
      <c r="E424" s="42">
        <v>49199.6405118919</v>
      </c>
      <c r="F424" s="19">
        <v>304023</v>
      </c>
      <c r="G424" s="214">
        <f t="shared" si="26"/>
        <v>1.17067346621413</v>
      </c>
      <c r="H424" s="20">
        <v>0.51671063971125</v>
      </c>
      <c r="I424" s="76">
        <f t="shared" si="27"/>
        <v>1.68738410592538</v>
      </c>
    </row>
    <row r="425" ht="15.75" spans="1:9">
      <c r="A425" s="71"/>
      <c r="B425" s="71"/>
      <c r="C425" s="100"/>
      <c r="D425" s="164" t="s">
        <v>69</v>
      </c>
      <c r="E425" s="42">
        <v>72012.5583523235</v>
      </c>
      <c r="F425" s="19">
        <v>312735</v>
      </c>
      <c r="G425" s="214">
        <f t="shared" si="26"/>
        <v>1.71349201783061</v>
      </c>
      <c r="H425" s="20">
        <v>0.546227010357143</v>
      </c>
      <c r="I425" s="76">
        <f t="shared" si="27"/>
        <v>2.25971902818775</v>
      </c>
    </row>
    <row r="426" ht="15.75" spans="1:9">
      <c r="A426" s="71"/>
      <c r="B426" s="71"/>
      <c r="C426" s="100" t="s">
        <v>80</v>
      </c>
      <c r="D426" s="164" t="s">
        <v>74</v>
      </c>
      <c r="E426" s="42">
        <v>10691.5313979998</v>
      </c>
      <c r="F426" s="19">
        <v>55907</v>
      </c>
      <c r="G426" s="214">
        <f t="shared" si="26"/>
        <v>0.254398040119997</v>
      </c>
      <c r="H426" s="20">
        <v>0.182678483177607</v>
      </c>
      <c r="I426" s="76">
        <f t="shared" si="27"/>
        <v>0.437076523297604</v>
      </c>
    </row>
    <row r="427" ht="15.75" spans="1:9">
      <c r="A427" s="71"/>
      <c r="B427" s="71"/>
      <c r="C427" s="100"/>
      <c r="D427" s="164" t="s">
        <v>75</v>
      </c>
      <c r="E427" s="42">
        <v>36848.7009704912</v>
      </c>
      <c r="F427" s="19">
        <v>99807</v>
      </c>
      <c r="G427" s="214">
        <f t="shared" si="26"/>
        <v>0.876790887937207</v>
      </c>
      <c r="H427" s="20">
        <v>0.150149251161</v>
      </c>
      <c r="I427" s="76">
        <f t="shared" si="27"/>
        <v>1.02694013909821</v>
      </c>
    </row>
    <row r="428" ht="15.75" spans="1:9">
      <c r="A428" s="71"/>
      <c r="B428" s="71"/>
      <c r="C428" s="100" t="s">
        <v>58</v>
      </c>
      <c r="D428" s="164" t="s">
        <v>59</v>
      </c>
      <c r="E428" s="42">
        <v>41579.1413512874</v>
      </c>
      <c r="F428" s="19">
        <v>105993</v>
      </c>
      <c r="G428" s="214">
        <f t="shared" si="26"/>
        <v>0.989348642012005</v>
      </c>
      <c r="H428" s="20">
        <v>1.40585665315404</v>
      </c>
      <c r="I428" s="76">
        <f t="shared" si="27"/>
        <v>2.39520529516605</v>
      </c>
    </row>
    <row r="429" ht="15.75" spans="1:9">
      <c r="A429" s="71"/>
      <c r="B429" s="71"/>
      <c r="C429" s="100"/>
      <c r="D429" s="164" t="s">
        <v>58</v>
      </c>
      <c r="E429" s="42">
        <v>1738.9848065947</v>
      </c>
      <c r="F429" s="19">
        <v>86</v>
      </c>
      <c r="G429" s="214">
        <f t="shared" si="26"/>
        <v>0.0413780131327966</v>
      </c>
      <c r="H429" s="20">
        <v>0.000567721208571429</v>
      </c>
      <c r="I429" s="76">
        <f t="shared" si="27"/>
        <v>0.041945734341368</v>
      </c>
    </row>
    <row r="430" ht="15.75" spans="1:9">
      <c r="A430" s="71"/>
      <c r="B430" s="71"/>
      <c r="C430" s="100" t="s">
        <v>45</v>
      </c>
      <c r="D430" s="164" t="s">
        <v>46</v>
      </c>
      <c r="E430" s="42">
        <v>139285.291814592</v>
      </c>
      <c r="F430" s="19">
        <v>795533</v>
      </c>
      <c r="G430" s="214">
        <f t="shared" si="26"/>
        <v>3.31420298328854</v>
      </c>
      <c r="H430" s="20">
        <v>0.721139183089286</v>
      </c>
      <c r="I430" s="76">
        <f t="shared" si="27"/>
        <v>4.03534216637782</v>
      </c>
    </row>
    <row r="431" ht="15.75" spans="1:9">
      <c r="A431" s="71"/>
      <c r="B431" s="71"/>
      <c r="C431" s="100"/>
      <c r="D431" s="164" t="s">
        <v>47</v>
      </c>
      <c r="E431" s="42">
        <v>54965.8765783501</v>
      </c>
      <c r="F431" s="19">
        <v>33900</v>
      </c>
      <c r="G431" s="214">
        <f t="shared" si="26"/>
        <v>1.30787730536206</v>
      </c>
      <c r="H431" s="20">
        <v>0.0353769038434286</v>
      </c>
      <c r="I431" s="76">
        <f t="shared" si="27"/>
        <v>1.34325420920549</v>
      </c>
    </row>
    <row r="432" ht="15.75" spans="1:9">
      <c r="A432" s="71"/>
      <c r="B432" s="71"/>
      <c r="C432" s="100"/>
      <c r="D432" s="164" t="s">
        <v>45</v>
      </c>
      <c r="E432" s="42">
        <v>304506.554831427</v>
      </c>
      <c r="F432" s="19">
        <v>1539059</v>
      </c>
      <c r="G432" s="214">
        <f t="shared" si="26"/>
        <v>7.24553554295316</v>
      </c>
      <c r="H432" s="20">
        <v>2.04478800013989</v>
      </c>
      <c r="I432" s="76">
        <f t="shared" si="27"/>
        <v>9.29032354309305</v>
      </c>
    </row>
    <row r="433" ht="15.75" spans="1:9">
      <c r="A433" s="71"/>
      <c r="B433" s="71"/>
      <c r="C433" s="100"/>
      <c r="D433" s="164" t="s">
        <v>43</v>
      </c>
      <c r="E433" s="42">
        <v>3006.55318778187</v>
      </c>
      <c r="F433" s="19">
        <v>555</v>
      </c>
      <c r="G433" s="214">
        <f t="shared" si="26"/>
        <v>0.0715389788436975</v>
      </c>
      <c r="H433" s="20">
        <v>0.00516164086742858</v>
      </c>
      <c r="I433" s="76">
        <f t="shared" si="27"/>
        <v>0.0767006197111261</v>
      </c>
    </row>
    <row r="434" ht="15.75" spans="1:9">
      <c r="A434" s="71"/>
      <c r="B434" s="71"/>
      <c r="C434" s="100"/>
      <c r="D434" s="164" t="s">
        <v>44</v>
      </c>
      <c r="E434" s="42">
        <v>151965.243794925</v>
      </c>
      <c r="F434" s="19">
        <v>135919</v>
      </c>
      <c r="G434" s="214">
        <f t="shared" si="26"/>
        <v>3.61591419869177</v>
      </c>
      <c r="H434" s="20">
        <v>0.265989882346589</v>
      </c>
      <c r="I434" s="76">
        <f t="shared" si="27"/>
        <v>3.88190408103836</v>
      </c>
    </row>
    <row r="435" ht="15.75" spans="1:9">
      <c r="A435" s="71"/>
      <c r="B435" s="71"/>
      <c r="C435" s="100" t="s">
        <v>60</v>
      </c>
      <c r="D435" s="164" t="s">
        <v>64</v>
      </c>
      <c r="E435" s="42">
        <v>156900.215972371</v>
      </c>
      <c r="F435" s="19">
        <v>2107</v>
      </c>
      <c r="G435" s="214">
        <f t="shared" si="26"/>
        <v>3.73333865392219</v>
      </c>
      <c r="H435" s="20">
        <v>0.038618344076</v>
      </c>
      <c r="I435" s="76">
        <f t="shared" si="27"/>
        <v>3.77195699799819</v>
      </c>
    </row>
    <row r="436" ht="15.75" spans="1:9">
      <c r="A436" s="71"/>
      <c r="B436" s="71"/>
      <c r="C436" s="100"/>
      <c r="D436" s="164" t="s">
        <v>61</v>
      </c>
      <c r="E436" s="42">
        <v>52490.0891798078</v>
      </c>
      <c r="F436" s="19">
        <v>6038</v>
      </c>
      <c r="G436" s="214">
        <f t="shared" si="26"/>
        <v>1.24896755347556</v>
      </c>
      <c r="H436" s="20">
        <v>0.242</v>
      </c>
      <c r="I436" s="76">
        <f t="shared" si="27"/>
        <v>1.49096755347556</v>
      </c>
    </row>
    <row r="437" ht="15.75" spans="1:9">
      <c r="A437" s="71"/>
      <c r="B437" s="71"/>
      <c r="C437" s="100"/>
      <c r="D437" s="164" t="s">
        <v>62</v>
      </c>
      <c r="E437" s="42">
        <v>55330.6302269935</v>
      </c>
      <c r="F437" s="19">
        <v>7777</v>
      </c>
      <c r="G437" s="214">
        <f t="shared" si="26"/>
        <v>1.31655638134166</v>
      </c>
      <c r="H437" s="20">
        <v>0.0512501525528571</v>
      </c>
      <c r="I437" s="76">
        <f t="shared" si="27"/>
        <v>1.36780653389452</v>
      </c>
    </row>
    <row r="438" ht="15.75" spans="1:9">
      <c r="A438" s="71"/>
      <c r="B438" s="71"/>
      <c r="C438" s="100"/>
      <c r="D438" s="164" t="s">
        <v>63</v>
      </c>
      <c r="E438" s="42">
        <v>297362.865451621</v>
      </c>
      <c r="F438" s="19">
        <v>54009</v>
      </c>
      <c r="G438" s="214">
        <f t="shared" si="26"/>
        <v>7.07555609755878</v>
      </c>
      <c r="H438" s="20">
        <v>1.37700808589286</v>
      </c>
      <c r="I438" s="76">
        <f t="shared" si="27"/>
        <v>8.45256418345164</v>
      </c>
    </row>
    <row r="439" ht="15.75" spans="1:9">
      <c r="A439" s="71"/>
      <c r="B439" s="71"/>
      <c r="C439" s="100" t="s">
        <v>27</v>
      </c>
      <c r="D439" s="164" t="s">
        <v>31</v>
      </c>
      <c r="E439" s="42">
        <v>86043.2771562099</v>
      </c>
      <c r="F439" s="19">
        <v>82755</v>
      </c>
      <c r="G439" s="214">
        <f t="shared" si="26"/>
        <v>2.04734385180186</v>
      </c>
      <c r="H439" s="20">
        <v>0.375453249078571</v>
      </c>
      <c r="I439" s="76">
        <f t="shared" si="27"/>
        <v>2.42279710088043</v>
      </c>
    </row>
    <row r="440" ht="15.75" spans="1:9">
      <c r="A440" s="71"/>
      <c r="B440" s="71"/>
      <c r="C440" s="100"/>
      <c r="D440" s="164" t="s">
        <v>30</v>
      </c>
      <c r="E440" s="42">
        <v>180951.444416121</v>
      </c>
      <c r="F440" s="19">
        <v>218996</v>
      </c>
      <c r="G440" s="214">
        <f t="shared" si="26"/>
        <v>4.30562200144273</v>
      </c>
      <c r="H440" s="20">
        <v>1.69466314100759</v>
      </c>
      <c r="I440" s="76">
        <f t="shared" si="27"/>
        <v>6.00028514245032</v>
      </c>
    </row>
    <row r="441" ht="15.75" spans="1:9">
      <c r="A441" s="71"/>
      <c r="B441" s="71"/>
      <c r="C441" s="100"/>
      <c r="D441" s="164" t="s">
        <v>28</v>
      </c>
      <c r="E441" s="42">
        <v>21056.5177083584</v>
      </c>
      <c r="F441" s="19">
        <v>4657</v>
      </c>
      <c r="G441" s="214">
        <f t="shared" si="26"/>
        <v>0.501026152133878</v>
      </c>
      <c r="H441" s="20">
        <v>0.100098041358</v>
      </c>
      <c r="I441" s="76">
        <f t="shared" si="27"/>
        <v>0.601124193491878</v>
      </c>
    </row>
    <row r="442" ht="15.75" spans="1:9">
      <c r="A442" s="86"/>
      <c r="B442" s="87"/>
      <c r="C442" s="87"/>
      <c r="D442" s="87"/>
      <c r="E442" s="87"/>
      <c r="F442" s="87"/>
      <c r="G442" s="87"/>
      <c r="H442" s="87"/>
      <c r="I442" s="87"/>
    </row>
    <row r="443" ht="15.75" spans="1:9">
      <c r="A443" s="129" t="s">
        <v>105</v>
      </c>
      <c r="B443" s="129"/>
      <c r="C443" s="129"/>
      <c r="D443" s="129"/>
      <c r="E443" s="129"/>
      <c r="F443" s="159"/>
      <c r="G443" s="35" t="s">
        <v>8</v>
      </c>
      <c r="H443" s="35"/>
      <c r="I443" s="35"/>
    </row>
    <row r="444" ht="78.75" spans="1:9">
      <c r="A444" s="35" t="s">
        <v>103</v>
      </c>
      <c r="B444" s="35" t="s">
        <v>104</v>
      </c>
      <c r="C444" s="35" t="s">
        <v>11</v>
      </c>
      <c r="D444" s="35" t="s">
        <v>106</v>
      </c>
      <c r="E444" s="35" t="s">
        <v>13</v>
      </c>
      <c r="F444" s="35" t="s">
        <v>84</v>
      </c>
      <c r="G444" s="35" t="s">
        <v>15</v>
      </c>
      <c r="H444" s="35" t="s">
        <v>16</v>
      </c>
      <c r="I444" s="35" t="s">
        <v>17</v>
      </c>
    </row>
    <row r="445" ht="15.75" spans="1:9">
      <c r="A445" s="9" t="s">
        <v>18</v>
      </c>
      <c r="B445" s="10" t="s">
        <v>19</v>
      </c>
      <c r="C445" s="9" t="s">
        <v>20</v>
      </c>
      <c r="D445" s="10" t="s">
        <v>21</v>
      </c>
      <c r="E445" s="10" t="s">
        <v>22</v>
      </c>
      <c r="F445" s="10" t="s">
        <v>23</v>
      </c>
      <c r="G445" s="10" t="s">
        <v>24</v>
      </c>
      <c r="H445" s="10" t="s">
        <v>25</v>
      </c>
      <c r="I445" s="10" t="s">
        <v>26</v>
      </c>
    </row>
    <row r="446" ht="15.75" spans="1:9">
      <c r="A446" s="71">
        <v>1</v>
      </c>
      <c r="B446" s="71">
        <v>2025</v>
      </c>
      <c r="C446" s="10" t="s">
        <v>78</v>
      </c>
      <c r="D446" s="151" t="s">
        <v>94</v>
      </c>
      <c r="E446" s="71">
        <v>6230</v>
      </c>
      <c r="F446" s="19">
        <v>1979</v>
      </c>
      <c r="G446" s="43">
        <f t="shared" ref="G446:G508" si="28">E446*162*365/POWER(10,9)</f>
        <v>0.3683799</v>
      </c>
      <c r="H446" s="20">
        <v>0.0710923014285714</v>
      </c>
      <c r="I446" s="20">
        <f t="shared" ref="I446:I509" si="29">G446+H446</f>
        <v>0.439472201428571</v>
      </c>
    </row>
    <row r="447" ht="15.75" spans="1:9">
      <c r="A447" s="71"/>
      <c r="B447" s="71"/>
      <c r="C447" s="10"/>
      <c r="D447" s="151" t="s">
        <v>88</v>
      </c>
      <c r="E447" s="71">
        <v>39231</v>
      </c>
      <c r="F447" s="19">
        <v>2759</v>
      </c>
      <c r="G447" s="43">
        <f t="shared" si="28"/>
        <v>2.31972903</v>
      </c>
      <c r="H447" s="20">
        <v>0.0675333167857143</v>
      </c>
      <c r="I447" s="20">
        <f t="shared" si="29"/>
        <v>2.38726234678571</v>
      </c>
    </row>
    <row r="448" ht="15.75" spans="1:9">
      <c r="A448" s="71"/>
      <c r="B448" s="71"/>
      <c r="C448" s="10" t="s">
        <v>33</v>
      </c>
      <c r="D448" s="13" t="s">
        <v>35</v>
      </c>
      <c r="E448" s="71">
        <v>6489</v>
      </c>
      <c r="F448" s="19">
        <v>713</v>
      </c>
      <c r="G448" s="43">
        <f t="shared" si="28"/>
        <v>0.38369457</v>
      </c>
      <c r="H448" s="20">
        <v>0.0107336201785714</v>
      </c>
      <c r="I448" s="20">
        <f t="shared" si="29"/>
        <v>0.394428190178571</v>
      </c>
    </row>
    <row r="449" ht="15.75" spans="1:9">
      <c r="A449" s="71"/>
      <c r="B449" s="71"/>
      <c r="C449" s="10"/>
      <c r="D449" s="13" t="s">
        <v>32</v>
      </c>
      <c r="E449" s="71">
        <v>11800</v>
      </c>
      <c r="F449" s="19">
        <v>2162</v>
      </c>
      <c r="G449" s="43">
        <f t="shared" si="28"/>
        <v>0.697734</v>
      </c>
      <c r="H449" s="20">
        <v>0.0715746228571429</v>
      </c>
      <c r="I449" s="20">
        <f t="shared" si="29"/>
        <v>0.769308622857143</v>
      </c>
    </row>
    <row r="450" ht="15.75" spans="1:9">
      <c r="A450" s="71"/>
      <c r="B450" s="71"/>
      <c r="C450" s="10" t="s">
        <v>37</v>
      </c>
      <c r="D450" s="13" t="s">
        <v>91</v>
      </c>
      <c r="E450" s="71">
        <v>7391</v>
      </c>
      <c r="F450" s="19">
        <v>1594</v>
      </c>
      <c r="G450" s="43">
        <f t="shared" si="28"/>
        <v>0.43702983</v>
      </c>
      <c r="H450" s="20">
        <v>0.0532652451785714</v>
      </c>
      <c r="I450" s="20">
        <f t="shared" si="29"/>
        <v>0.490295075178571</v>
      </c>
    </row>
    <row r="451" ht="15.75" spans="1:9">
      <c r="A451" s="71"/>
      <c r="B451" s="71"/>
      <c r="C451" s="10"/>
      <c r="D451" s="13" t="s">
        <v>92</v>
      </c>
      <c r="E451" s="15">
        <v>8957</v>
      </c>
      <c r="F451" s="19">
        <v>2325</v>
      </c>
      <c r="G451" s="43">
        <f>E451*(162*365)/POWER(10,9)</f>
        <v>0.52962741</v>
      </c>
      <c r="H451" s="20">
        <v>0.07794794</v>
      </c>
      <c r="I451" s="20">
        <f t="shared" si="29"/>
        <v>0.60757535</v>
      </c>
    </row>
    <row r="452" ht="15.75" spans="1:9">
      <c r="A452" s="71"/>
      <c r="B452" s="71"/>
      <c r="C452" s="10"/>
      <c r="D452" s="13" t="s">
        <v>37</v>
      </c>
      <c r="E452" s="71">
        <v>128133</v>
      </c>
      <c r="F452" s="19">
        <v>39756</v>
      </c>
      <c r="G452" s="43">
        <f t="shared" si="28"/>
        <v>7.57650429</v>
      </c>
      <c r="H452" s="20">
        <v>0.237016686785714</v>
      </c>
      <c r="I452" s="20">
        <f t="shared" si="29"/>
        <v>7.81352097678571</v>
      </c>
    </row>
    <row r="453" ht="15.75" spans="1:9">
      <c r="A453" s="71"/>
      <c r="B453" s="71"/>
      <c r="C453" s="10"/>
      <c r="D453" s="13" t="s">
        <v>93</v>
      </c>
      <c r="E453" s="71">
        <v>7764</v>
      </c>
      <c r="F453" s="19">
        <v>2958</v>
      </c>
      <c r="G453" s="43">
        <f t="shared" si="28"/>
        <v>0.45908532</v>
      </c>
      <c r="H453" s="20">
        <v>0.0810507398214286</v>
      </c>
      <c r="I453" s="20">
        <f t="shared" si="29"/>
        <v>0.540136059821429</v>
      </c>
    </row>
    <row r="454" ht="15.75" spans="1:9">
      <c r="A454" s="71"/>
      <c r="B454" s="71"/>
      <c r="C454" s="10"/>
      <c r="D454" s="13" t="s">
        <v>38</v>
      </c>
      <c r="E454" s="71">
        <v>16557</v>
      </c>
      <c r="F454" s="19">
        <v>4703</v>
      </c>
      <c r="G454" s="43">
        <f t="shared" si="28"/>
        <v>0.97901541</v>
      </c>
      <c r="H454" s="20">
        <v>0.0819624576785715</v>
      </c>
      <c r="I454" s="20">
        <f t="shared" si="29"/>
        <v>1.06097786767857</v>
      </c>
    </row>
    <row r="455" ht="15.75" spans="1:9">
      <c r="A455" s="71"/>
      <c r="B455" s="71"/>
      <c r="C455" s="10" t="s">
        <v>42</v>
      </c>
      <c r="D455" s="13" t="s">
        <v>41</v>
      </c>
      <c r="E455" s="71">
        <v>7811</v>
      </c>
      <c r="F455" s="19">
        <v>3332</v>
      </c>
      <c r="G455" s="43">
        <f t="shared" si="28"/>
        <v>0.46186443</v>
      </c>
      <c r="H455" s="20">
        <v>0.0614514782142857</v>
      </c>
      <c r="I455" s="20">
        <f t="shared" si="29"/>
        <v>0.523315908214286</v>
      </c>
    </row>
    <row r="456" ht="15.75" spans="1:9">
      <c r="A456" s="71"/>
      <c r="B456" s="71"/>
      <c r="C456" s="10"/>
      <c r="D456" s="13" t="s">
        <v>40</v>
      </c>
      <c r="E456" s="71">
        <v>17264</v>
      </c>
      <c r="F456" s="19">
        <v>3454</v>
      </c>
      <c r="G456" s="43">
        <f t="shared" si="28"/>
        <v>1.02082032</v>
      </c>
      <c r="H456" s="20">
        <v>0.0829404751785714</v>
      </c>
      <c r="I456" s="20">
        <f t="shared" si="29"/>
        <v>1.10376079517857</v>
      </c>
    </row>
    <row r="457" ht="15.75" spans="1:9">
      <c r="A457" s="71"/>
      <c r="B457" s="71"/>
      <c r="C457" s="9" t="s">
        <v>95</v>
      </c>
      <c r="D457" s="151" t="s">
        <v>54</v>
      </c>
      <c r="E457" s="71">
        <v>9748</v>
      </c>
      <c r="F457" s="19">
        <v>2583</v>
      </c>
      <c r="G457" s="43">
        <f t="shared" si="28"/>
        <v>0.57639924</v>
      </c>
      <c r="H457" s="20">
        <v>0.0599623303571429</v>
      </c>
      <c r="I457" s="20">
        <f t="shared" si="29"/>
        <v>0.636361570357143</v>
      </c>
    </row>
    <row r="458" ht="15.75" spans="1:9">
      <c r="A458" s="71"/>
      <c r="B458" s="71"/>
      <c r="C458" s="9"/>
      <c r="D458" s="151" t="s">
        <v>53</v>
      </c>
      <c r="E458" s="71">
        <v>11496</v>
      </c>
      <c r="F458" s="19">
        <v>764</v>
      </c>
      <c r="G458" s="43">
        <f t="shared" si="28"/>
        <v>0.67975848</v>
      </c>
      <c r="H458" s="20">
        <v>0.03041837</v>
      </c>
      <c r="I458" s="20">
        <f t="shared" si="29"/>
        <v>0.71017685</v>
      </c>
    </row>
    <row r="459" ht="15.75" spans="1:9">
      <c r="A459" s="71"/>
      <c r="B459" s="71"/>
      <c r="C459" s="9"/>
      <c r="D459" s="151" t="s">
        <v>50</v>
      </c>
      <c r="E459" s="71">
        <v>9448</v>
      </c>
      <c r="F459" s="19">
        <v>51</v>
      </c>
      <c r="G459" s="43">
        <f t="shared" si="28"/>
        <v>0.55866024</v>
      </c>
      <c r="H459" s="20">
        <v>4.69285714285714e-6</v>
      </c>
      <c r="I459" s="20">
        <f t="shared" si="29"/>
        <v>0.558664932857143</v>
      </c>
    </row>
    <row r="460" ht="15.75" spans="1:9">
      <c r="A460" s="71"/>
      <c r="B460" s="71"/>
      <c r="C460" s="9"/>
      <c r="D460" s="151" t="s">
        <v>87</v>
      </c>
      <c r="E460" s="71">
        <v>11846</v>
      </c>
      <c r="F460" s="19">
        <v>554</v>
      </c>
      <c r="G460" s="43">
        <f t="shared" si="28"/>
        <v>0.70045398</v>
      </c>
      <c r="H460" s="20">
        <v>0.00364447285714286</v>
      </c>
      <c r="I460" s="20">
        <f t="shared" si="29"/>
        <v>0.704098452857143</v>
      </c>
    </row>
    <row r="461" ht="15.75" spans="1:9">
      <c r="A461" s="71"/>
      <c r="B461" s="71"/>
      <c r="C461" s="9"/>
      <c r="D461" s="92" t="s">
        <v>90</v>
      </c>
      <c r="E461" s="19">
        <v>11742</v>
      </c>
      <c r="F461" s="19">
        <v>1646</v>
      </c>
      <c r="G461" s="43">
        <f>E461*(162*365)/POWER(10,9)</f>
        <v>0.69430446</v>
      </c>
      <c r="H461" s="20">
        <v>0.0535998328571429</v>
      </c>
      <c r="I461" s="20">
        <f t="shared" si="29"/>
        <v>0.747904292857143</v>
      </c>
    </row>
    <row r="462" ht="15.75" spans="1:9">
      <c r="A462" s="71"/>
      <c r="B462" s="71"/>
      <c r="C462" s="9"/>
      <c r="D462" s="92" t="s">
        <v>89</v>
      </c>
      <c r="E462" s="19">
        <v>13118</v>
      </c>
      <c r="F462" s="19">
        <v>20712</v>
      </c>
      <c r="G462" s="43">
        <f>E462*(162*365)/POWER(10,9)</f>
        <v>0.77566734</v>
      </c>
      <c r="H462" s="20">
        <v>0.0651301307142857</v>
      </c>
      <c r="I462" s="20">
        <f t="shared" si="29"/>
        <v>0.840797470714286</v>
      </c>
    </row>
    <row r="463" ht="15.75" spans="1:9">
      <c r="A463" s="71"/>
      <c r="B463" s="71"/>
      <c r="C463" s="9"/>
      <c r="D463" s="92" t="s">
        <v>96</v>
      </c>
      <c r="E463" s="19">
        <v>7080</v>
      </c>
      <c r="F463" s="19">
        <v>1428</v>
      </c>
      <c r="G463" s="43">
        <f>E463*(162*365)/POWER(10,9)</f>
        <v>0.4186404</v>
      </c>
      <c r="H463" s="20">
        <v>0.0493724028571429</v>
      </c>
      <c r="I463" s="20">
        <f t="shared" si="29"/>
        <v>0.468012802857143</v>
      </c>
    </row>
    <row r="464" ht="15.75" spans="1:9">
      <c r="A464" s="71"/>
      <c r="B464" s="71"/>
      <c r="C464" s="9"/>
      <c r="D464" s="151" t="s">
        <v>86</v>
      </c>
      <c r="E464" s="71">
        <v>24571</v>
      </c>
      <c r="F464" s="19">
        <v>58025</v>
      </c>
      <c r="G464" s="43">
        <f t="shared" si="28"/>
        <v>1.45288323</v>
      </c>
      <c r="H464" s="20">
        <v>0.139633774285714</v>
      </c>
      <c r="I464" s="20">
        <f t="shared" si="29"/>
        <v>1.59251700428571</v>
      </c>
    </row>
    <row r="465" ht="15.75" spans="1:9">
      <c r="A465" s="71"/>
      <c r="B465" s="71"/>
      <c r="C465" s="10" t="s">
        <v>71</v>
      </c>
      <c r="D465" s="13" t="s">
        <v>97</v>
      </c>
      <c r="E465" s="71">
        <v>9088</v>
      </c>
      <c r="F465" s="19">
        <v>5335</v>
      </c>
      <c r="G465" s="43">
        <f t="shared" si="28"/>
        <v>0.53737344</v>
      </c>
      <c r="H465" s="20">
        <v>0.0387833748214286</v>
      </c>
      <c r="I465" s="20">
        <f t="shared" si="29"/>
        <v>0.576156814821429</v>
      </c>
    </row>
    <row r="466" ht="15.75" spans="1:9">
      <c r="A466" s="71"/>
      <c r="B466" s="71"/>
      <c r="C466" s="10"/>
      <c r="D466" s="13" t="s">
        <v>70</v>
      </c>
      <c r="E466" s="71">
        <v>10004</v>
      </c>
      <c r="F466" s="19">
        <v>772</v>
      </c>
      <c r="G466" s="43">
        <f t="shared" si="28"/>
        <v>0.59153652</v>
      </c>
      <c r="H466" s="20">
        <v>0.0197620385714286</v>
      </c>
      <c r="I466" s="20">
        <f t="shared" si="29"/>
        <v>0.611298558571429</v>
      </c>
    </row>
    <row r="467" ht="15.75" spans="1:9">
      <c r="A467" s="71"/>
      <c r="B467" s="71"/>
      <c r="C467" s="10"/>
      <c r="D467" s="13" t="s">
        <v>73</v>
      </c>
      <c r="E467" s="71">
        <v>10877</v>
      </c>
      <c r="F467" s="19">
        <v>2805</v>
      </c>
      <c r="G467" s="43">
        <f t="shared" si="28"/>
        <v>0.64315701</v>
      </c>
      <c r="H467" s="20">
        <v>0.015066105</v>
      </c>
      <c r="I467" s="20">
        <f t="shared" si="29"/>
        <v>0.658223115</v>
      </c>
    </row>
    <row r="468" ht="15.75" spans="1:9">
      <c r="A468" s="71"/>
      <c r="B468" s="71"/>
      <c r="C468" s="10"/>
      <c r="D468" s="13" t="s">
        <v>71</v>
      </c>
      <c r="E468" s="71">
        <v>54046</v>
      </c>
      <c r="F468" s="19">
        <v>1107</v>
      </c>
      <c r="G468" s="43">
        <f t="shared" si="28"/>
        <v>3.19573998</v>
      </c>
      <c r="H468" s="20">
        <v>0.0235410530357143</v>
      </c>
      <c r="I468" s="20">
        <f t="shared" si="29"/>
        <v>3.21928103303571</v>
      </c>
    </row>
    <row r="469" ht="15.75" spans="1:9">
      <c r="A469" s="71"/>
      <c r="B469" s="71"/>
      <c r="C469" s="10"/>
      <c r="D469" s="13" t="s">
        <v>69</v>
      </c>
      <c r="E469" s="71">
        <v>6178</v>
      </c>
      <c r="F469" s="19">
        <v>4407</v>
      </c>
      <c r="G469" s="43">
        <f t="shared" si="28"/>
        <v>0.36530514</v>
      </c>
      <c r="H469" s="20">
        <v>0.0485275973214286</v>
      </c>
      <c r="I469" s="20">
        <f t="shared" si="29"/>
        <v>0.413832737321429</v>
      </c>
    </row>
    <row r="470" ht="15.75" spans="1:9">
      <c r="A470" s="71"/>
      <c r="B470" s="71"/>
      <c r="C470" s="10" t="s">
        <v>80</v>
      </c>
      <c r="D470" s="13" t="s">
        <v>75</v>
      </c>
      <c r="E470" s="71">
        <v>14394</v>
      </c>
      <c r="F470" s="19">
        <v>1918</v>
      </c>
      <c r="G470" s="43">
        <f t="shared" si="28"/>
        <v>0.85111722</v>
      </c>
      <c r="H470" s="20">
        <v>0.000175030535714286</v>
      </c>
      <c r="I470" s="20">
        <f t="shared" si="29"/>
        <v>0.851292250535714</v>
      </c>
    </row>
    <row r="471" ht="15.75" spans="1:9">
      <c r="A471" s="71"/>
      <c r="B471" s="71"/>
      <c r="C471" s="10" t="s">
        <v>45</v>
      </c>
      <c r="D471" s="13" t="s">
        <v>45</v>
      </c>
      <c r="E471" s="71">
        <v>63166</v>
      </c>
      <c r="F471" s="19">
        <v>8542</v>
      </c>
      <c r="G471" s="43">
        <f t="shared" si="28"/>
        <v>3.73500558</v>
      </c>
      <c r="H471" s="20">
        <v>0.1366492475</v>
      </c>
      <c r="I471" s="20">
        <f t="shared" si="29"/>
        <v>3.8716548275</v>
      </c>
    </row>
    <row r="472" ht="15.75" spans="1:9">
      <c r="A472" s="71"/>
      <c r="B472" s="71"/>
      <c r="C472" s="10" t="s">
        <v>60</v>
      </c>
      <c r="D472" s="151" t="s">
        <v>64</v>
      </c>
      <c r="E472" s="71">
        <v>6412</v>
      </c>
      <c r="F472" s="19">
        <v>2259</v>
      </c>
      <c r="G472" s="43">
        <f t="shared" si="28"/>
        <v>0.37914156</v>
      </c>
      <c r="H472" s="20">
        <v>0.0239929360714286</v>
      </c>
      <c r="I472" s="20">
        <f t="shared" si="29"/>
        <v>0.403134496071429</v>
      </c>
    </row>
    <row r="473" ht="15.75" spans="1:9">
      <c r="A473" s="71"/>
      <c r="B473" s="71"/>
      <c r="C473" s="10"/>
      <c r="D473" s="151" t="s">
        <v>62</v>
      </c>
      <c r="E473" s="71">
        <v>5063</v>
      </c>
      <c r="F473" s="19">
        <v>489</v>
      </c>
      <c r="G473" s="43">
        <f t="shared" si="28"/>
        <v>0.29937519</v>
      </c>
      <c r="H473" s="20">
        <v>0.00790975857142857</v>
      </c>
      <c r="I473" s="20">
        <f t="shared" si="29"/>
        <v>0.307284948571429</v>
      </c>
    </row>
    <row r="474" ht="15.75" spans="1:9">
      <c r="A474" s="71"/>
      <c r="B474" s="71"/>
      <c r="C474" s="10"/>
      <c r="D474" s="125" t="s">
        <v>98</v>
      </c>
      <c r="E474" s="19">
        <v>7838</v>
      </c>
      <c r="F474" s="19">
        <v>1190</v>
      </c>
      <c r="G474" s="43">
        <f>E474*(162*365)/POWER(10,9)</f>
        <v>0.46346094</v>
      </c>
      <c r="H474" s="20">
        <v>0.00941358464285713</v>
      </c>
      <c r="I474" s="20">
        <f t="shared" si="29"/>
        <v>0.472874524642857</v>
      </c>
    </row>
    <row r="475" ht="15.75" spans="1:9">
      <c r="A475" s="71"/>
      <c r="B475" s="71"/>
      <c r="C475" s="10"/>
      <c r="D475" s="151" t="s">
        <v>63</v>
      </c>
      <c r="E475" s="71">
        <v>17089</v>
      </c>
      <c r="F475" s="19">
        <v>17767</v>
      </c>
      <c r="G475" s="43">
        <f t="shared" si="28"/>
        <v>1.01047257</v>
      </c>
      <c r="H475" s="20">
        <v>0.159464537142857</v>
      </c>
      <c r="I475" s="20">
        <f t="shared" si="29"/>
        <v>1.16993710714286</v>
      </c>
    </row>
    <row r="476" ht="15.75" spans="1:9">
      <c r="A476" s="71"/>
      <c r="B476" s="71"/>
      <c r="C476" s="10" t="s">
        <v>27</v>
      </c>
      <c r="D476" s="13" t="s">
        <v>30</v>
      </c>
      <c r="E476" s="71">
        <v>22324</v>
      </c>
      <c r="F476" s="19">
        <v>2806</v>
      </c>
      <c r="G476" s="43">
        <f t="shared" si="28"/>
        <v>1.32001812</v>
      </c>
      <c r="H476" s="20">
        <v>0.0528893603571429</v>
      </c>
      <c r="I476" s="20">
        <f t="shared" si="29"/>
        <v>1.37290748035714</v>
      </c>
    </row>
    <row r="477" ht="15.75" spans="1:9">
      <c r="A477" s="71"/>
      <c r="B477" s="71"/>
      <c r="C477" s="10"/>
      <c r="D477" s="13" t="s">
        <v>99</v>
      </c>
      <c r="E477" s="71">
        <v>4841</v>
      </c>
      <c r="F477" s="42" t="s">
        <v>107</v>
      </c>
      <c r="G477" s="43">
        <f t="shared" si="28"/>
        <v>0.28624833</v>
      </c>
      <c r="H477" s="20">
        <v>0</v>
      </c>
      <c r="I477" s="20">
        <f t="shared" si="29"/>
        <v>0.28624833</v>
      </c>
    </row>
    <row r="478" ht="15.75" spans="1:9">
      <c r="A478" s="71"/>
      <c r="B478" s="71"/>
      <c r="C478" s="10"/>
      <c r="D478" s="151" t="s">
        <v>85</v>
      </c>
      <c r="E478" s="71">
        <v>34491</v>
      </c>
      <c r="F478" s="19">
        <v>2363</v>
      </c>
      <c r="G478" s="43">
        <f t="shared" si="28"/>
        <v>2.03945283</v>
      </c>
      <c r="H478" s="20">
        <v>0.0840380823214286</v>
      </c>
      <c r="I478" s="20">
        <f t="shared" si="29"/>
        <v>2.12349091232143</v>
      </c>
    </row>
    <row r="479" ht="15.75" spans="1:9">
      <c r="A479" s="71"/>
      <c r="B479" s="71"/>
      <c r="C479" s="10"/>
      <c r="D479" s="13" t="s">
        <v>100</v>
      </c>
      <c r="E479" s="71">
        <v>23306</v>
      </c>
      <c r="F479" s="42" t="s">
        <v>29</v>
      </c>
      <c r="G479" s="43">
        <f t="shared" si="28"/>
        <v>1.37808378</v>
      </c>
      <c r="H479" s="42" t="s">
        <v>29</v>
      </c>
      <c r="I479" s="20">
        <f>G479</f>
        <v>1.37808378</v>
      </c>
    </row>
    <row r="480" ht="15.75" spans="1:9">
      <c r="A480" s="71"/>
      <c r="B480" s="71"/>
      <c r="C480" s="10"/>
      <c r="D480" s="13" t="s">
        <v>101</v>
      </c>
      <c r="E480" s="71">
        <v>10007</v>
      </c>
      <c r="F480" s="42" t="s">
        <v>29</v>
      </c>
      <c r="G480" s="43">
        <f t="shared" si="28"/>
        <v>0.59171391</v>
      </c>
      <c r="H480" s="42" t="s">
        <v>29</v>
      </c>
      <c r="I480" s="20">
        <f>G480</f>
        <v>0.59171391</v>
      </c>
    </row>
    <row r="481" ht="15.75" spans="1:9">
      <c r="A481" s="71">
        <v>2</v>
      </c>
      <c r="B481" s="71">
        <v>2050</v>
      </c>
      <c r="C481" s="10" t="s">
        <v>78</v>
      </c>
      <c r="D481" s="151" t="s">
        <v>94</v>
      </c>
      <c r="E481" s="71">
        <v>6355</v>
      </c>
      <c r="F481" s="19">
        <v>2070</v>
      </c>
      <c r="G481" s="43">
        <f t="shared" si="28"/>
        <v>0.37577115</v>
      </c>
      <c r="H481" s="20">
        <v>0.07697558</v>
      </c>
      <c r="I481" s="20">
        <f t="shared" si="29"/>
        <v>0.45274673</v>
      </c>
    </row>
    <row r="482" ht="15.75" spans="1:9">
      <c r="A482" s="71"/>
      <c r="B482" s="71"/>
      <c r="C482" s="10"/>
      <c r="D482" s="151" t="s">
        <v>88</v>
      </c>
      <c r="E482" s="71">
        <v>30067</v>
      </c>
      <c r="F482" s="19">
        <v>2570</v>
      </c>
      <c r="G482" s="43">
        <f t="shared" si="28"/>
        <v>1.77786171</v>
      </c>
      <c r="H482" s="20">
        <v>0.0536500203571428</v>
      </c>
      <c r="I482" s="20">
        <f t="shared" si="29"/>
        <v>1.83151173035714</v>
      </c>
    </row>
    <row r="483" ht="15.75" spans="1:9">
      <c r="A483" s="71"/>
      <c r="B483" s="71"/>
      <c r="C483" s="10" t="s">
        <v>33</v>
      </c>
      <c r="D483" s="13" t="s">
        <v>35</v>
      </c>
      <c r="E483" s="71">
        <v>8177</v>
      </c>
      <c r="F483" s="19">
        <v>918</v>
      </c>
      <c r="G483" s="43">
        <f t="shared" si="28"/>
        <v>0.48350601</v>
      </c>
      <c r="H483" s="20">
        <v>0.00336518267857143</v>
      </c>
      <c r="I483" s="20">
        <f t="shared" si="29"/>
        <v>0.486871192678571</v>
      </c>
    </row>
    <row r="484" ht="15.75" spans="1:9">
      <c r="A484" s="71"/>
      <c r="B484" s="71"/>
      <c r="C484" s="10"/>
      <c r="D484" s="13" t="s">
        <v>32</v>
      </c>
      <c r="E484" s="71">
        <v>17572</v>
      </c>
      <c r="F484" s="19">
        <v>45</v>
      </c>
      <c r="G484" s="43">
        <f t="shared" si="28"/>
        <v>1.03903236</v>
      </c>
      <c r="H484" s="20">
        <v>0.000298465714285714</v>
      </c>
      <c r="I484" s="20">
        <f t="shared" si="29"/>
        <v>1.03933082571429</v>
      </c>
    </row>
    <row r="485" ht="15.75" spans="1:9">
      <c r="A485" s="71"/>
      <c r="B485" s="71"/>
      <c r="C485" s="10" t="s">
        <v>37</v>
      </c>
      <c r="D485" s="13" t="s">
        <v>91</v>
      </c>
      <c r="E485" s="71">
        <v>8804</v>
      </c>
      <c r="F485" s="19">
        <v>535</v>
      </c>
      <c r="G485" s="43">
        <f t="shared" si="28"/>
        <v>0.52058052</v>
      </c>
      <c r="H485" s="20">
        <v>0.00491982196428572</v>
      </c>
      <c r="I485" s="20">
        <f t="shared" si="29"/>
        <v>0.525500341964286</v>
      </c>
    </row>
    <row r="486" ht="15.75" spans="1:9">
      <c r="A486" s="71"/>
      <c r="B486" s="71"/>
      <c r="C486" s="10"/>
      <c r="D486" s="13" t="s">
        <v>92</v>
      </c>
      <c r="E486" s="15">
        <v>11474</v>
      </c>
      <c r="F486" s="19">
        <v>1853</v>
      </c>
      <c r="G486" s="43">
        <f>E486*(162*365)/POWER(10,9)</f>
        <v>0.67845762</v>
      </c>
      <c r="H486" s="20">
        <v>0.0414933042857143</v>
      </c>
      <c r="I486" s="20">
        <f t="shared" si="29"/>
        <v>0.719950924285714</v>
      </c>
    </row>
    <row r="487" ht="15.75" spans="1:9">
      <c r="A487" s="71"/>
      <c r="B487" s="71"/>
      <c r="C487" s="10"/>
      <c r="D487" s="13" t="s">
        <v>37</v>
      </c>
      <c r="E487" s="71">
        <v>190015</v>
      </c>
      <c r="F487" s="19">
        <v>98306</v>
      </c>
      <c r="G487" s="43">
        <f t="shared" si="28"/>
        <v>11.23558695</v>
      </c>
      <c r="H487" s="20">
        <v>0.273019048392857</v>
      </c>
      <c r="I487" s="20">
        <f t="shared" si="29"/>
        <v>11.5086059983929</v>
      </c>
    </row>
    <row r="488" ht="15.75" spans="1:9">
      <c r="A488" s="71"/>
      <c r="B488" s="71"/>
      <c r="C488" s="10"/>
      <c r="D488" s="13" t="s">
        <v>93</v>
      </c>
      <c r="E488" s="71">
        <v>10414</v>
      </c>
      <c r="F488" s="19">
        <v>2672</v>
      </c>
      <c r="G488" s="43">
        <f t="shared" si="28"/>
        <v>0.61577982</v>
      </c>
      <c r="H488" s="20">
        <v>0.0663223380357143</v>
      </c>
      <c r="I488" s="20">
        <f t="shared" si="29"/>
        <v>0.682102158035714</v>
      </c>
    </row>
    <row r="489" ht="15.75" spans="1:9">
      <c r="A489" s="71"/>
      <c r="B489" s="71"/>
      <c r="C489" s="10"/>
      <c r="D489" s="13" t="s">
        <v>38</v>
      </c>
      <c r="E489" s="71">
        <v>22360</v>
      </c>
      <c r="F489" s="19">
        <v>7507</v>
      </c>
      <c r="G489" s="43">
        <f t="shared" si="28"/>
        <v>1.3221468</v>
      </c>
      <c r="H489" s="20">
        <v>0.0665578282142857</v>
      </c>
      <c r="I489" s="20">
        <f t="shared" si="29"/>
        <v>1.38870462821429</v>
      </c>
    </row>
    <row r="490" ht="15.75" spans="1:9">
      <c r="A490" s="71"/>
      <c r="B490" s="71"/>
      <c r="C490" s="10" t="s">
        <v>42</v>
      </c>
      <c r="D490" s="13" t="s">
        <v>41</v>
      </c>
      <c r="E490" s="71">
        <v>10876</v>
      </c>
      <c r="F490" s="19">
        <v>6293</v>
      </c>
      <c r="G490" s="43">
        <f t="shared" si="28"/>
        <v>0.64309788</v>
      </c>
      <c r="H490" s="20">
        <v>0.117819210357143</v>
      </c>
      <c r="I490" s="20">
        <f t="shared" si="29"/>
        <v>0.760917090357143</v>
      </c>
    </row>
    <row r="491" ht="15.75" spans="1:9">
      <c r="A491" s="71"/>
      <c r="B491" s="71"/>
      <c r="C491" s="10"/>
      <c r="D491" s="13" t="s">
        <v>40</v>
      </c>
      <c r="E491" s="71">
        <v>22931</v>
      </c>
      <c r="F491" s="19">
        <v>4310</v>
      </c>
      <c r="G491" s="43">
        <f t="shared" si="28"/>
        <v>1.35591003</v>
      </c>
      <c r="H491" s="20">
        <v>0.103231868035714</v>
      </c>
      <c r="I491" s="20">
        <f t="shared" si="29"/>
        <v>1.45914189803571</v>
      </c>
    </row>
    <row r="492" ht="15.75" spans="1:9">
      <c r="A492" s="71"/>
      <c r="B492" s="71"/>
      <c r="C492" s="9" t="s">
        <v>95</v>
      </c>
      <c r="D492" s="151" t="s">
        <v>54</v>
      </c>
      <c r="E492" s="71">
        <v>13131</v>
      </c>
      <c r="F492" s="19">
        <v>2883</v>
      </c>
      <c r="G492" s="43">
        <f t="shared" si="28"/>
        <v>0.77643603</v>
      </c>
      <c r="H492" s="20">
        <v>0.0416497589285714</v>
      </c>
      <c r="I492" s="20">
        <f t="shared" si="29"/>
        <v>0.818085788928571</v>
      </c>
    </row>
    <row r="493" ht="15.75" spans="1:9">
      <c r="A493" s="71"/>
      <c r="B493" s="71"/>
      <c r="C493" s="9"/>
      <c r="D493" s="151" t="s">
        <v>53</v>
      </c>
      <c r="E493" s="71">
        <v>17836</v>
      </c>
      <c r="F493" s="19">
        <v>764</v>
      </c>
      <c r="G493" s="43">
        <f t="shared" si="28"/>
        <v>1.05464268</v>
      </c>
      <c r="H493" s="20">
        <v>0.03041837</v>
      </c>
      <c r="I493" s="20">
        <f t="shared" si="29"/>
        <v>1.08506105</v>
      </c>
    </row>
    <row r="494" ht="15.75" spans="1:9">
      <c r="A494" s="71"/>
      <c r="B494" s="71"/>
      <c r="C494" s="9"/>
      <c r="D494" s="151" t="s">
        <v>50</v>
      </c>
      <c r="E494" s="71">
        <v>11823</v>
      </c>
      <c r="F494" s="19">
        <v>51</v>
      </c>
      <c r="G494" s="43">
        <f t="shared" si="28"/>
        <v>0.69909399</v>
      </c>
      <c r="H494" s="20">
        <v>4.69285714285714e-6</v>
      </c>
      <c r="I494" s="20">
        <f t="shared" si="29"/>
        <v>0.699098682857143</v>
      </c>
    </row>
    <row r="495" ht="15.75" spans="1:9">
      <c r="A495" s="71"/>
      <c r="B495" s="71"/>
      <c r="C495" s="9"/>
      <c r="D495" s="151" t="s">
        <v>87</v>
      </c>
      <c r="E495" s="71">
        <v>19289</v>
      </c>
      <c r="F495" s="19">
        <v>936</v>
      </c>
      <c r="G495" s="43">
        <f t="shared" si="28"/>
        <v>1.14055857</v>
      </c>
      <c r="H495" s="20">
        <v>0.00615515142857143</v>
      </c>
      <c r="I495" s="20">
        <f t="shared" si="29"/>
        <v>1.14671372142857</v>
      </c>
    </row>
    <row r="496" ht="15.75" spans="1:9">
      <c r="A496" s="71"/>
      <c r="B496" s="71"/>
      <c r="C496" s="9"/>
      <c r="D496" s="92" t="s">
        <v>90</v>
      </c>
      <c r="E496" s="19">
        <v>14358</v>
      </c>
      <c r="F496" s="19">
        <v>3001</v>
      </c>
      <c r="G496" s="43">
        <f>E496*(162*365)/POWER(10,9)</f>
        <v>0.84898854</v>
      </c>
      <c r="H496" s="20">
        <v>0.0993567542857143</v>
      </c>
      <c r="I496" s="20">
        <f t="shared" si="29"/>
        <v>0.948345294285714</v>
      </c>
    </row>
    <row r="497" ht="15.75" spans="1:9">
      <c r="A497" s="71"/>
      <c r="B497" s="71"/>
      <c r="C497" s="9"/>
      <c r="D497" s="92" t="s">
        <v>89</v>
      </c>
      <c r="E497" s="19">
        <v>21843</v>
      </c>
      <c r="F497" s="19">
        <v>55517</v>
      </c>
      <c r="G497" s="43">
        <f>E497*(162*365)/POWER(10,9)</f>
        <v>1.29157659</v>
      </c>
      <c r="H497" s="20">
        <v>0.00526315660714286</v>
      </c>
      <c r="I497" s="20">
        <f t="shared" si="29"/>
        <v>1.29683974660714</v>
      </c>
    </row>
    <row r="498" ht="15.75" spans="1:9">
      <c r="A498" s="71"/>
      <c r="B498" s="71"/>
      <c r="C498" s="9"/>
      <c r="D498" s="92" t="s">
        <v>96</v>
      </c>
      <c r="E498" s="19">
        <v>8722</v>
      </c>
      <c r="F498" s="19">
        <v>616</v>
      </c>
      <c r="G498" s="43">
        <f>E498*(162*365)/POWER(10,9)</f>
        <v>0.51573186</v>
      </c>
      <c r="H498" s="20">
        <v>0.0107700028571429</v>
      </c>
      <c r="I498" s="20">
        <f t="shared" si="29"/>
        <v>0.526501862857143</v>
      </c>
    </row>
    <row r="499" ht="15.75" spans="1:9">
      <c r="A499" s="71"/>
      <c r="B499" s="71"/>
      <c r="C499" s="9"/>
      <c r="D499" s="151" t="s">
        <v>86</v>
      </c>
      <c r="E499" s="71">
        <v>25593</v>
      </c>
      <c r="F499" s="19">
        <v>146314</v>
      </c>
      <c r="G499" s="43">
        <f t="shared" si="28"/>
        <v>1.51331409</v>
      </c>
      <c r="H499" s="20">
        <v>0.249176792142857</v>
      </c>
      <c r="I499" s="20">
        <f t="shared" si="29"/>
        <v>1.76249088214286</v>
      </c>
    </row>
    <row r="500" ht="15.75" spans="1:9">
      <c r="A500" s="71"/>
      <c r="B500" s="71"/>
      <c r="C500" s="10" t="s">
        <v>71</v>
      </c>
      <c r="D500" s="13" t="s">
        <v>97</v>
      </c>
      <c r="E500" s="71">
        <v>13216</v>
      </c>
      <c r="F500" s="19">
        <v>10346</v>
      </c>
      <c r="G500" s="43">
        <f t="shared" si="28"/>
        <v>0.78146208</v>
      </c>
      <c r="H500" s="20">
        <v>0.0301573167857143</v>
      </c>
      <c r="I500" s="20">
        <f t="shared" si="29"/>
        <v>0.811619396785714</v>
      </c>
    </row>
    <row r="501" ht="15.75" spans="1:9">
      <c r="A501" s="71"/>
      <c r="B501" s="71"/>
      <c r="C501" s="10"/>
      <c r="D501" s="13" t="s">
        <v>70</v>
      </c>
      <c r="E501" s="71">
        <v>13359</v>
      </c>
      <c r="F501" s="19">
        <v>461</v>
      </c>
      <c r="G501" s="43">
        <f t="shared" si="28"/>
        <v>0.78991767</v>
      </c>
      <c r="H501" s="20">
        <v>0.00467241714285714</v>
      </c>
      <c r="I501" s="20">
        <f t="shared" si="29"/>
        <v>0.794590087142857</v>
      </c>
    </row>
    <row r="502" ht="15.75" spans="1:9">
      <c r="A502" s="71"/>
      <c r="B502" s="71"/>
      <c r="C502" s="10"/>
      <c r="D502" s="13" t="s">
        <v>73</v>
      </c>
      <c r="E502" s="71">
        <v>12967</v>
      </c>
      <c r="F502" s="19">
        <v>4955</v>
      </c>
      <c r="G502" s="43">
        <f t="shared" si="28"/>
        <v>0.76673871</v>
      </c>
      <c r="H502" s="20">
        <v>0.00658265767857143</v>
      </c>
      <c r="I502" s="20">
        <f t="shared" si="29"/>
        <v>0.773321367678572</v>
      </c>
    </row>
    <row r="503" ht="15.75" spans="1:9">
      <c r="A503" s="71"/>
      <c r="B503" s="71"/>
      <c r="C503" s="10"/>
      <c r="D503" s="13" t="s">
        <v>71</v>
      </c>
      <c r="E503" s="71">
        <v>101602</v>
      </c>
      <c r="F503" s="19">
        <v>1107</v>
      </c>
      <c r="G503" s="43">
        <f t="shared" si="28"/>
        <v>6.00772626</v>
      </c>
      <c r="H503" s="20">
        <v>0.0235410530357143</v>
      </c>
      <c r="I503" s="20">
        <f t="shared" si="29"/>
        <v>6.03126731303571</v>
      </c>
    </row>
    <row r="504" ht="15.75" spans="1:9">
      <c r="A504" s="71"/>
      <c r="B504" s="71"/>
      <c r="C504" s="10"/>
      <c r="D504" s="13" t="s">
        <v>69</v>
      </c>
      <c r="E504" s="71">
        <v>9158</v>
      </c>
      <c r="F504" s="19">
        <v>5299</v>
      </c>
      <c r="G504" s="43">
        <f t="shared" si="28"/>
        <v>0.54151254</v>
      </c>
      <c r="H504" s="20">
        <v>0.0220490633928571</v>
      </c>
      <c r="I504" s="20">
        <f t="shared" si="29"/>
        <v>0.563561603392857</v>
      </c>
    </row>
    <row r="505" ht="15.75" spans="1:9">
      <c r="A505" s="71"/>
      <c r="B505" s="71"/>
      <c r="C505" s="10" t="s">
        <v>80</v>
      </c>
      <c r="D505" s="13" t="s">
        <v>75</v>
      </c>
      <c r="E505" s="71">
        <v>20249</v>
      </c>
      <c r="F505" s="19">
        <v>1918</v>
      </c>
      <c r="G505" s="43">
        <f t="shared" si="28"/>
        <v>1.19732337</v>
      </c>
      <c r="H505" s="20">
        <v>0.000175030535714286</v>
      </c>
      <c r="I505" s="20">
        <f t="shared" si="29"/>
        <v>1.19749840053571</v>
      </c>
    </row>
    <row r="506" ht="15.75" spans="1:9">
      <c r="A506" s="71"/>
      <c r="B506" s="71"/>
      <c r="C506" s="10" t="s">
        <v>45</v>
      </c>
      <c r="D506" s="13" t="s">
        <v>45</v>
      </c>
      <c r="E506" s="71">
        <v>67241</v>
      </c>
      <c r="F506" s="19">
        <v>13767</v>
      </c>
      <c r="G506" s="43">
        <f t="shared" si="28"/>
        <v>3.97596033</v>
      </c>
      <c r="H506" s="20">
        <v>0.1567333725</v>
      </c>
      <c r="I506" s="20">
        <f t="shared" si="29"/>
        <v>4.1326937025</v>
      </c>
    </row>
    <row r="507" ht="15.75" spans="1:9">
      <c r="A507" s="71"/>
      <c r="B507" s="71"/>
      <c r="C507" s="10" t="s">
        <v>60</v>
      </c>
      <c r="D507" s="151" t="s">
        <v>64</v>
      </c>
      <c r="E507" s="71">
        <v>7862</v>
      </c>
      <c r="F507" s="19">
        <v>3845</v>
      </c>
      <c r="G507" s="43">
        <f t="shared" si="28"/>
        <v>0.46488006</v>
      </c>
      <c r="H507" s="20">
        <v>0.0176983155357143</v>
      </c>
      <c r="I507" s="20">
        <f t="shared" si="29"/>
        <v>0.482578375535714</v>
      </c>
    </row>
    <row r="508" ht="15.75" spans="1:9">
      <c r="A508" s="71"/>
      <c r="B508" s="71"/>
      <c r="C508" s="10"/>
      <c r="D508" s="151" t="s">
        <v>62</v>
      </c>
      <c r="E508" s="71">
        <v>5633</v>
      </c>
      <c r="F508" s="19">
        <v>420</v>
      </c>
      <c r="G508" s="43">
        <f t="shared" si="28"/>
        <v>0.33307929</v>
      </c>
      <c r="H508" s="20">
        <v>0.00767282142857143</v>
      </c>
      <c r="I508" s="20">
        <f t="shared" si="29"/>
        <v>0.340752111428571</v>
      </c>
    </row>
    <row r="509" ht="15.75" spans="1:9">
      <c r="A509" s="71"/>
      <c r="B509" s="71"/>
      <c r="C509" s="10"/>
      <c r="D509" s="125" t="s">
        <v>98</v>
      </c>
      <c r="E509" s="19">
        <v>9466</v>
      </c>
      <c r="F509" s="19">
        <v>2155</v>
      </c>
      <c r="G509" s="43">
        <f>E509*(162*365)/POWER(10,9)</f>
        <v>0.55972458</v>
      </c>
      <c r="H509" s="20">
        <v>0.0141592885714286</v>
      </c>
      <c r="I509" s="20">
        <f t="shared" si="29"/>
        <v>0.573883868571429</v>
      </c>
    </row>
    <row r="510" ht="15.75" spans="1:9">
      <c r="A510" s="71"/>
      <c r="B510" s="71"/>
      <c r="C510" s="10"/>
      <c r="D510" s="151" t="s">
        <v>63</v>
      </c>
      <c r="E510" s="71">
        <v>20902</v>
      </c>
      <c r="F510" s="19">
        <v>51935</v>
      </c>
      <c r="G510" s="43">
        <f t="shared" ref="G510:G515" si="30">E510*162*365/POWER(10,9)</f>
        <v>1.23593526</v>
      </c>
      <c r="H510" s="20">
        <v>0.466127108571429</v>
      </c>
      <c r="I510" s="20">
        <f t="shared" ref="I510:I513" si="31">G510+H510</f>
        <v>1.70206236857143</v>
      </c>
    </row>
    <row r="511" ht="15.75" spans="1:9">
      <c r="A511" s="71"/>
      <c r="B511" s="71"/>
      <c r="C511" s="10" t="s">
        <v>27</v>
      </c>
      <c r="D511" s="13" t="s">
        <v>30</v>
      </c>
      <c r="E511" s="71">
        <v>26980</v>
      </c>
      <c r="F511" s="19">
        <v>3320</v>
      </c>
      <c r="G511" s="43">
        <f t="shared" si="30"/>
        <v>1.5953274</v>
      </c>
      <c r="H511" s="20">
        <v>0.03352278625</v>
      </c>
      <c r="I511" s="20">
        <f t="shared" si="31"/>
        <v>1.62885018625</v>
      </c>
    </row>
    <row r="512" ht="15.75" spans="1:9">
      <c r="A512" s="71"/>
      <c r="B512" s="71"/>
      <c r="C512" s="10"/>
      <c r="D512" s="13" t="s">
        <v>99</v>
      </c>
      <c r="E512" s="71">
        <v>7518</v>
      </c>
      <c r="F512" s="42" t="s">
        <v>29</v>
      </c>
      <c r="G512" s="43">
        <f t="shared" si="30"/>
        <v>0.44453934</v>
      </c>
      <c r="H512" s="42" t="s">
        <v>29</v>
      </c>
      <c r="I512" s="20">
        <f>G512</f>
        <v>0.44453934</v>
      </c>
    </row>
    <row r="513" ht="15.75" spans="1:9">
      <c r="A513" s="71"/>
      <c r="B513" s="71"/>
      <c r="C513" s="10"/>
      <c r="D513" s="151" t="s">
        <v>85</v>
      </c>
      <c r="E513" s="71">
        <v>41301</v>
      </c>
      <c r="F513" s="19">
        <v>1328</v>
      </c>
      <c r="G513" s="43">
        <f t="shared" si="30"/>
        <v>2.44212813</v>
      </c>
      <c r="H513" s="20">
        <v>0.0511542285714286</v>
      </c>
      <c r="I513" s="20">
        <f t="shared" si="31"/>
        <v>2.49328235857143</v>
      </c>
    </row>
    <row r="514" ht="15.75" spans="1:9">
      <c r="A514" s="71"/>
      <c r="B514" s="71"/>
      <c r="C514" s="10"/>
      <c r="D514" s="13" t="s">
        <v>100</v>
      </c>
      <c r="E514" s="71">
        <v>36199</v>
      </c>
      <c r="F514" s="42" t="s">
        <v>29</v>
      </c>
      <c r="G514" s="43">
        <f t="shared" si="30"/>
        <v>2.14044687</v>
      </c>
      <c r="H514" s="42" t="s">
        <v>29</v>
      </c>
      <c r="I514" s="20">
        <f t="shared" ref="I514:I515" si="32">G514</f>
        <v>2.14044687</v>
      </c>
    </row>
    <row r="515" ht="15.75" spans="1:9">
      <c r="A515" s="71"/>
      <c r="B515" s="71"/>
      <c r="C515" s="10"/>
      <c r="D515" s="13" t="s">
        <v>101</v>
      </c>
      <c r="E515" s="71">
        <v>15543</v>
      </c>
      <c r="F515" s="42" t="s">
        <v>29</v>
      </c>
      <c r="G515" s="43">
        <f t="shared" si="30"/>
        <v>0.91905759</v>
      </c>
      <c r="H515" s="42" t="s">
        <v>29</v>
      </c>
      <c r="I515" s="20">
        <f t="shared" si="32"/>
        <v>0.91905759</v>
      </c>
    </row>
    <row r="516" ht="15.75" spans="1:9">
      <c r="A516" s="86"/>
      <c r="B516" s="87"/>
      <c r="C516" s="87"/>
      <c r="D516" s="87"/>
      <c r="E516" s="87"/>
      <c r="F516" s="87"/>
      <c r="G516" s="87"/>
      <c r="H516" s="87"/>
      <c r="I516" s="87"/>
    </row>
    <row r="517" ht="15.75" spans="1:9">
      <c r="A517" s="86"/>
      <c r="B517" s="87"/>
      <c r="C517" s="87"/>
      <c r="D517" s="87"/>
      <c r="E517" s="87"/>
      <c r="F517" s="87"/>
      <c r="G517" s="87"/>
      <c r="H517" s="87"/>
      <c r="I517" s="87"/>
    </row>
    <row r="518" ht="39" customHeight="1" spans="1:9">
      <c r="A518" s="45" t="s">
        <v>108</v>
      </c>
      <c r="B518" s="7" t="s">
        <v>109</v>
      </c>
      <c r="C518" s="46"/>
      <c r="D518" s="46"/>
      <c r="E518" s="46"/>
      <c r="F518" s="46"/>
      <c r="G518" s="46"/>
      <c r="H518" s="46"/>
      <c r="I518" s="46"/>
    </row>
    <row r="519" ht="36" customHeight="1" spans="1:9">
      <c r="A519" s="46"/>
      <c r="B519" s="7" t="s">
        <v>110</v>
      </c>
      <c r="C519" s="47"/>
      <c r="D519" s="47"/>
      <c r="E519" s="47"/>
      <c r="F519" s="47"/>
      <c r="G519" s="47"/>
      <c r="H519" s="47"/>
      <c r="I519" s="47"/>
    </row>
    <row r="521" spans="2:2">
      <c r="B521" s="48" t="s">
        <v>111</v>
      </c>
    </row>
    <row r="522" s="2" customFormat="1" ht="15" customHeight="1" spans="2:2">
      <c r="B522" s="49" t="s">
        <v>112</v>
      </c>
    </row>
    <row r="523" s="2" customFormat="1" ht="15" customHeight="1" spans="2:2">
      <c r="B523" s="50" t="s">
        <v>113</v>
      </c>
    </row>
    <row r="524" s="2" customFormat="1" ht="15" customHeight="1" spans="2:2">
      <c r="B524" s="50" t="s">
        <v>114</v>
      </c>
    </row>
    <row r="525" s="2" customFormat="1" spans="2:2">
      <c r="B525" s="51"/>
    </row>
    <row r="526" s="2" customFormat="1" spans="2:2">
      <c r="B526" s="49" t="s">
        <v>115</v>
      </c>
    </row>
    <row r="527" s="2" customFormat="1" ht="16.5" customHeight="1" spans="2:2">
      <c r="B527" s="50" t="s">
        <v>116</v>
      </c>
    </row>
    <row r="528" s="2" customFormat="1" ht="16.5" customHeight="1" spans="2:2">
      <c r="B528" s="50" t="s">
        <v>117</v>
      </c>
    </row>
    <row r="529" spans="2:2">
      <c r="B529" s="55"/>
    </row>
    <row r="530" spans="2:2">
      <c r="B530" s="49" t="s">
        <v>118</v>
      </c>
    </row>
    <row r="531" spans="2:2">
      <c r="B531" s="56" t="s">
        <v>119</v>
      </c>
    </row>
    <row r="532" spans="2:2">
      <c r="B532" s="56" t="s">
        <v>120</v>
      </c>
    </row>
    <row r="533" spans="2:2">
      <c r="B533" s="56" t="s">
        <v>121</v>
      </c>
    </row>
    <row r="534" spans="2:2">
      <c r="B534" s="56" t="s">
        <v>122</v>
      </c>
    </row>
    <row r="535" spans="2:2">
      <c r="B535" s="49" t="s">
        <v>123</v>
      </c>
    </row>
    <row r="536" spans="2:2">
      <c r="B536" s="49" t="s">
        <v>124</v>
      </c>
    </row>
    <row r="537" spans="2:2">
      <c r="B537" s="56" t="s">
        <v>125</v>
      </c>
    </row>
    <row r="538" spans="2:2">
      <c r="B538" s="56" t="s">
        <v>126</v>
      </c>
    </row>
    <row r="539" spans="2:2">
      <c r="B539" s="56" t="s">
        <v>127</v>
      </c>
    </row>
    <row r="540" spans="2:2">
      <c r="B540" s="56" t="s">
        <v>128</v>
      </c>
    </row>
    <row r="541" spans="2:2">
      <c r="B541" s="56" t="s">
        <v>129</v>
      </c>
    </row>
    <row r="542" spans="2:2">
      <c r="B542" s="56"/>
    </row>
    <row r="543" spans="2:2">
      <c r="B543" s="49" t="s">
        <v>130</v>
      </c>
    </row>
    <row r="544" ht="15.75" spans="2:2">
      <c r="B544" s="57"/>
    </row>
    <row r="545" spans="2:2">
      <c r="B545" s="58" t="s">
        <v>131</v>
      </c>
    </row>
    <row r="546" spans="2:2">
      <c r="B546" s="58" t="s">
        <v>132</v>
      </c>
    </row>
    <row r="547" spans="2:2">
      <c r="B547" s="59" t="s">
        <v>133</v>
      </c>
    </row>
    <row r="548" spans="2:9">
      <c r="B548" s="112" t="s">
        <v>134</v>
      </c>
      <c r="C548" s="112"/>
      <c r="D548" s="112"/>
      <c r="E548" s="112"/>
      <c r="F548" s="112"/>
      <c r="G548" s="112"/>
      <c r="H548" s="112"/>
      <c r="I548" s="112"/>
    </row>
  </sheetData>
  <mergeCells count="149">
    <mergeCell ref="A2:I2"/>
    <mergeCell ref="A3:I3"/>
    <mergeCell ref="A4:I4"/>
    <mergeCell ref="A5:I5"/>
    <mergeCell ref="A6:I6"/>
    <mergeCell ref="A7:E7"/>
    <mergeCell ref="F7:I7"/>
    <mergeCell ref="A226:D226"/>
    <mergeCell ref="G226:I226"/>
    <mergeCell ref="A352:I352"/>
    <mergeCell ref="G353:I353"/>
    <mergeCell ref="A443:E443"/>
    <mergeCell ref="G443:I443"/>
    <mergeCell ref="B518:I518"/>
    <mergeCell ref="B519:I519"/>
    <mergeCell ref="B548:I548"/>
    <mergeCell ref="A10:A28"/>
    <mergeCell ref="A29:A52"/>
    <mergeCell ref="A53:A71"/>
    <mergeCell ref="A72:A95"/>
    <mergeCell ref="A96:A138"/>
    <mergeCell ref="A139:A181"/>
    <mergeCell ref="A182:A224"/>
    <mergeCell ref="A229:A237"/>
    <mergeCell ref="A238:A248"/>
    <mergeCell ref="A249:A280"/>
    <mergeCell ref="A281:A315"/>
    <mergeCell ref="A316:A350"/>
    <mergeCell ref="A356:A398"/>
    <mergeCell ref="A399:A441"/>
    <mergeCell ref="A446:A480"/>
    <mergeCell ref="A481:A515"/>
    <mergeCell ref="B10:B28"/>
    <mergeCell ref="B29:B52"/>
    <mergeCell ref="B53:B71"/>
    <mergeCell ref="B72:B95"/>
    <mergeCell ref="B96:B138"/>
    <mergeCell ref="B139:B181"/>
    <mergeCell ref="B182:B224"/>
    <mergeCell ref="B229:B237"/>
    <mergeCell ref="B238:B248"/>
    <mergeCell ref="B249:B280"/>
    <mergeCell ref="B281:B315"/>
    <mergeCell ref="B316:B350"/>
    <mergeCell ref="B356:B398"/>
    <mergeCell ref="B399:B441"/>
    <mergeCell ref="B446:B480"/>
    <mergeCell ref="B481:B515"/>
    <mergeCell ref="C10:C28"/>
    <mergeCell ref="C29:C39"/>
    <mergeCell ref="C40:C43"/>
    <mergeCell ref="C44:C45"/>
    <mergeCell ref="C46:C52"/>
    <mergeCell ref="C53:C71"/>
    <mergeCell ref="C72:C82"/>
    <mergeCell ref="C83:C86"/>
    <mergeCell ref="C87:C88"/>
    <mergeCell ref="C89:C95"/>
    <mergeCell ref="C96:C97"/>
    <mergeCell ref="C98:C101"/>
    <mergeCell ref="C102:C103"/>
    <mergeCell ref="C104:C112"/>
    <mergeCell ref="C113:C117"/>
    <mergeCell ref="C118:C119"/>
    <mergeCell ref="C120:C124"/>
    <mergeCell ref="C125:C128"/>
    <mergeCell ref="C129:C138"/>
    <mergeCell ref="C139:C140"/>
    <mergeCell ref="C141:C144"/>
    <mergeCell ref="C145:C146"/>
    <mergeCell ref="C147:C155"/>
    <mergeCell ref="C156:C160"/>
    <mergeCell ref="C161:C162"/>
    <mergeCell ref="C163:C167"/>
    <mergeCell ref="C168:C171"/>
    <mergeCell ref="C172:C181"/>
    <mergeCell ref="C182:C183"/>
    <mergeCell ref="C184:C187"/>
    <mergeCell ref="C188:C191"/>
    <mergeCell ref="C192:C194"/>
    <mergeCell ref="C195:C203"/>
    <mergeCell ref="C204:C208"/>
    <mergeCell ref="C209:C210"/>
    <mergeCell ref="C211:C212"/>
    <mergeCell ref="C213:C217"/>
    <mergeCell ref="C218:C221"/>
    <mergeCell ref="C222:C224"/>
    <mergeCell ref="C229:C232"/>
    <mergeCell ref="C233:C234"/>
    <mergeCell ref="C238:C241"/>
    <mergeCell ref="C242:C245"/>
    <mergeCell ref="C250:C254"/>
    <mergeCell ref="C255:C256"/>
    <mergeCell ref="C257:C264"/>
    <mergeCell ref="C265:C269"/>
    <mergeCell ref="C271:C274"/>
    <mergeCell ref="C275:C280"/>
    <mergeCell ref="C282:C286"/>
    <mergeCell ref="C287:C288"/>
    <mergeCell ref="C289:C296"/>
    <mergeCell ref="C297:C301"/>
    <mergeCell ref="C303:C306"/>
    <mergeCell ref="C307:C315"/>
    <mergeCell ref="C316:C317"/>
    <mergeCell ref="C318:C319"/>
    <mergeCell ref="C320:C324"/>
    <mergeCell ref="C325:C326"/>
    <mergeCell ref="C327:C334"/>
    <mergeCell ref="C335:C339"/>
    <mergeCell ref="C342:C345"/>
    <mergeCell ref="C346:C350"/>
    <mergeCell ref="C356:C357"/>
    <mergeCell ref="C358:C361"/>
    <mergeCell ref="C362:C365"/>
    <mergeCell ref="C366:C368"/>
    <mergeCell ref="C369:C377"/>
    <mergeCell ref="C378:C382"/>
    <mergeCell ref="C383:C384"/>
    <mergeCell ref="C385:C386"/>
    <mergeCell ref="C387:C391"/>
    <mergeCell ref="C392:C395"/>
    <mergeCell ref="C396:C398"/>
    <mergeCell ref="C399:C400"/>
    <mergeCell ref="C401:C404"/>
    <mergeCell ref="C405:C408"/>
    <mergeCell ref="C409:C411"/>
    <mergeCell ref="C412:C420"/>
    <mergeCell ref="C421:C425"/>
    <mergeCell ref="C426:C427"/>
    <mergeCell ref="C428:C429"/>
    <mergeCell ref="C430:C434"/>
    <mergeCell ref="C435:C438"/>
    <mergeCell ref="C439:C441"/>
    <mergeCell ref="C446:C447"/>
    <mergeCell ref="C448:C449"/>
    <mergeCell ref="C450:C454"/>
    <mergeCell ref="C455:C456"/>
    <mergeCell ref="C457:C464"/>
    <mergeCell ref="C465:C469"/>
    <mergeCell ref="C472:C475"/>
    <mergeCell ref="C476:C480"/>
    <mergeCell ref="C481:C482"/>
    <mergeCell ref="C483:C484"/>
    <mergeCell ref="C485:C489"/>
    <mergeCell ref="C490:C491"/>
    <mergeCell ref="C492:C499"/>
    <mergeCell ref="C500:C504"/>
    <mergeCell ref="C507:C510"/>
    <mergeCell ref="C511:C515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6" manualBreakCount="6">
    <brk id="25" max="8" man="1"/>
    <brk id="204" max="8" man="1"/>
    <brk id="224" max="16383" man="1"/>
    <brk id="350" max="16383" man="1"/>
    <brk id="415" max="8" man="1"/>
    <brk id="43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J142"/>
  <sheetViews>
    <sheetView view="pageBreakPreview" zoomScale="90" zoomScaleNormal="90" topLeftCell="A49" workbookViewId="0">
      <selection activeCell="O8" sqref="O8"/>
    </sheetView>
  </sheetViews>
  <sheetFormatPr defaultColWidth="9" defaultRowHeight="14.25"/>
  <cols>
    <col min="1" max="1" width="7" customWidth="1"/>
    <col min="2" max="2" width="19.6" customWidth="1"/>
    <col min="3" max="3" width="13.6" customWidth="1"/>
    <col min="4" max="4" width="18" customWidth="1"/>
    <col min="5" max="5" width="12.6" customWidth="1"/>
    <col min="6" max="6" width="11.7" customWidth="1"/>
    <col min="7" max="7" width="12.7" customWidth="1"/>
    <col min="8" max="8" width="9.5" customWidth="1"/>
    <col min="9" max="9" width="14.2" customWidth="1"/>
    <col min="10" max="10" width="8.2" customWidth="1"/>
    <col min="11" max="19" width="8"/>
    <col min="20" max="20" width="13.7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spans="1:9">
      <c r="A2" s="4" t="s">
        <v>2</v>
      </c>
      <c r="B2" s="4"/>
      <c r="C2" s="4"/>
      <c r="D2" s="4"/>
      <c r="E2" s="4"/>
      <c r="F2" s="4"/>
      <c r="G2" s="4"/>
      <c r="H2" s="4"/>
      <c r="I2" s="4"/>
    </row>
    <row r="3" s="1" customFormat="1" ht="15.75" spans="1:9">
      <c r="A3" s="194" t="s">
        <v>135</v>
      </c>
      <c r="B3" s="194"/>
      <c r="C3" s="194"/>
      <c r="D3" s="194"/>
      <c r="E3" s="68"/>
      <c r="F3" s="68"/>
      <c r="G3" s="68"/>
      <c r="H3" s="68"/>
      <c r="I3" s="68"/>
    </row>
    <row r="4" s="1" customFormat="1" ht="15.75" spans="1:9">
      <c r="A4" s="194" t="s">
        <v>136</v>
      </c>
      <c r="B4" s="194"/>
      <c r="C4" s="194"/>
      <c r="D4" s="194"/>
      <c r="E4" s="68"/>
      <c r="F4" s="68"/>
      <c r="G4" s="68"/>
      <c r="H4" s="68"/>
      <c r="I4" s="68"/>
    </row>
    <row r="5" s="1" customFormat="1" ht="15.75" spans="1:9">
      <c r="A5" s="194" t="s">
        <v>137</v>
      </c>
      <c r="B5" s="194"/>
      <c r="C5" s="194"/>
      <c r="D5" s="194"/>
      <c r="E5" s="194"/>
      <c r="F5" s="68"/>
      <c r="G5" s="68"/>
      <c r="H5" s="68"/>
      <c r="I5" s="68"/>
    </row>
    <row r="6" s="1" customFormat="1" ht="15.75" spans="1:9">
      <c r="A6" s="68" t="s">
        <v>138</v>
      </c>
      <c r="B6" s="68"/>
      <c r="C6" s="68"/>
      <c r="D6" s="68"/>
      <c r="E6" s="68"/>
      <c r="F6" s="68"/>
      <c r="G6" s="68"/>
      <c r="H6" s="68"/>
      <c r="I6" s="68"/>
    </row>
    <row r="7" ht="15.75" spans="1:9">
      <c r="A7" s="68" t="s">
        <v>7</v>
      </c>
      <c r="B7" s="68"/>
      <c r="C7" s="68"/>
      <c r="D7" s="68"/>
      <c r="E7" s="68"/>
      <c r="G7" s="8" t="s">
        <v>8</v>
      </c>
      <c r="H7" s="8"/>
      <c r="I7" s="8"/>
    </row>
    <row r="8" ht="47.25" spans="1:9">
      <c r="A8" s="100" t="s">
        <v>9</v>
      </c>
      <c r="B8" s="100" t="s">
        <v>10</v>
      </c>
      <c r="C8" s="100" t="s">
        <v>11</v>
      </c>
      <c r="D8" s="100" t="s">
        <v>12</v>
      </c>
      <c r="E8" s="100" t="s">
        <v>13</v>
      </c>
      <c r="F8" s="100" t="s">
        <v>14</v>
      </c>
      <c r="G8" s="100" t="s">
        <v>15</v>
      </c>
      <c r="H8" s="100" t="s">
        <v>16</v>
      </c>
      <c r="I8" s="100" t="s">
        <v>17</v>
      </c>
    </row>
    <row r="9" ht="15.75" spans="1:9">
      <c r="A9" s="71" t="s">
        <v>18</v>
      </c>
      <c r="B9" s="71" t="s">
        <v>19</v>
      </c>
      <c r="C9" s="71" t="s">
        <v>20</v>
      </c>
      <c r="D9" s="71" t="s">
        <v>21</v>
      </c>
      <c r="E9" s="71" t="s">
        <v>22</v>
      </c>
      <c r="F9" s="71" t="s">
        <v>23</v>
      </c>
      <c r="G9" s="71" t="s">
        <v>24</v>
      </c>
      <c r="H9" s="71" t="s">
        <v>25</v>
      </c>
      <c r="I9" s="71" t="s">
        <v>26</v>
      </c>
    </row>
    <row r="10" ht="15.75" spans="1:9">
      <c r="A10" s="12">
        <v>1</v>
      </c>
      <c r="B10" s="12">
        <v>1981</v>
      </c>
      <c r="C10" s="9" t="s">
        <v>27</v>
      </c>
      <c r="D10" s="125" t="s">
        <v>139</v>
      </c>
      <c r="E10" s="15">
        <v>964</v>
      </c>
      <c r="F10" s="15" t="s">
        <v>29</v>
      </c>
      <c r="G10" s="195">
        <f>E10*(65.19*365)/POWER(10,9)</f>
        <v>0.0229377534</v>
      </c>
      <c r="H10" s="15" t="s">
        <v>29</v>
      </c>
      <c r="I10" s="43">
        <f>G10</f>
        <v>0.0229377534</v>
      </c>
    </row>
    <row r="11" ht="15.75" spans="1:9">
      <c r="A11" s="17"/>
      <c r="B11" s="17"/>
      <c r="C11" s="9" t="s">
        <v>60</v>
      </c>
      <c r="D11" s="125" t="s">
        <v>64</v>
      </c>
      <c r="E11" s="15">
        <v>11898</v>
      </c>
      <c r="F11" s="15" t="s">
        <v>29</v>
      </c>
      <c r="G11" s="195">
        <f t="shared" ref="G11:G19" si="0">E11*(65.19*365)/POWER(10,9)</f>
        <v>0.2831051763</v>
      </c>
      <c r="H11" s="15" t="s">
        <v>29</v>
      </c>
      <c r="I11" s="43">
        <f t="shared" ref="I11:I13" si="1">G11</f>
        <v>0.2831051763</v>
      </c>
    </row>
    <row r="12" ht="15.75" spans="1:9">
      <c r="A12" s="12">
        <v>2</v>
      </c>
      <c r="B12" s="12">
        <v>1991</v>
      </c>
      <c r="C12" s="9" t="s">
        <v>27</v>
      </c>
      <c r="D12" s="125" t="s">
        <v>139</v>
      </c>
      <c r="E12" s="15">
        <v>1122</v>
      </c>
      <c r="F12" s="15" t="s">
        <v>29</v>
      </c>
      <c r="G12" s="195">
        <f t="shared" si="0"/>
        <v>0.0266972607</v>
      </c>
      <c r="H12" s="15" t="s">
        <v>29</v>
      </c>
      <c r="I12" s="43">
        <f t="shared" si="1"/>
        <v>0.0266972607</v>
      </c>
    </row>
    <row r="13" ht="15.75" spans="1:9">
      <c r="A13" s="17"/>
      <c r="B13" s="17"/>
      <c r="C13" s="9" t="s">
        <v>60</v>
      </c>
      <c r="D13" s="125" t="s">
        <v>64</v>
      </c>
      <c r="E13" s="15">
        <v>12333</v>
      </c>
      <c r="F13" s="15" t="s">
        <v>29</v>
      </c>
      <c r="G13" s="195">
        <f t="shared" si="0"/>
        <v>0.29345571855</v>
      </c>
      <c r="H13" s="15" t="s">
        <v>29</v>
      </c>
      <c r="I13" s="43">
        <f t="shared" si="1"/>
        <v>0.29345571855</v>
      </c>
    </row>
    <row r="14" ht="15.75" spans="1:10">
      <c r="A14" s="9">
        <v>3</v>
      </c>
      <c r="B14" s="9">
        <v>2001</v>
      </c>
      <c r="C14" s="9" t="s">
        <v>140</v>
      </c>
      <c r="D14" s="125" t="s">
        <v>139</v>
      </c>
      <c r="E14" s="15">
        <v>1198</v>
      </c>
      <c r="F14" s="19">
        <v>1071</v>
      </c>
      <c r="G14" s="16">
        <f t="shared" si="0"/>
        <v>0.0285056313</v>
      </c>
      <c r="H14" s="20">
        <v>0.0224996326384382</v>
      </c>
      <c r="I14" s="43">
        <f t="shared" ref="I14:I19" si="2">G14+H14</f>
        <v>0.0510052639384382</v>
      </c>
      <c r="J14" s="53"/>
    </row>
    <row r="15" ht="15.75" spans="1:10">
      <c r="A15" s="9"/>
      <c r="B15" s="9"/>
      <c r="C15" s="9" t="s">
        <v>60</v>
      </c>
      <c r="D15" s="125" t="s">
        <v>64</v>
      </c>
      <c r="E15" s="15">
        <v>14557</v>
      </c>
      <c r="F15" s="19">
        <v>16067</v>
      </c>
      <c r="G15" s="16">
        <f t="shared" si="0"/>
        <v>0.34637435295</v>
      </c>
      <c r="H15" s="20">
        <v>0.326686060545311</v>
      </c>
      <c r="I15" s="43">
        <f t="shared" si="2"/>
        <v>0.673060413495311</v>
      </c>
      <c r="J15" s="53"/>
    </row>
    <row r="16" ht="15.75" spans="1:10">
      <c r="A16" s="12">
        <v>4</v>
      </c>
      <c r="B16" s="12">
        <v>2011</v>
      </c>
      <c r="C16" s="9" t="s">
        <v>140</v>
      </c>
      <c r="D16" s="125" t="s">
        <v>139</v>
      </c>
      <c r="E16" s="15">
        <v>1433</v>
      </c>
      <c r="F16" s="19">
        <v>1233</v>
      </c>
      <c r="G16" s="16">
        <f t="shared" si="0"/>
        <v>0.03409730355</v>
      </c>
      <c r="H16" s="20">
        <v>0.0200969284919</v>
      </c>
      <c r="I16" s="43">
        <f t="shared" si="2"/>
        <v>0.0541942320419</v>
      </c>
      <c r="J16" s="53"/>
    </row>
    <row r="17" ht="15.75" spans="1:10">
      <c r="A17" s="17"/>
      <c r="B17" s="17"/>
      <c r="C17" s="9" t="s">
        <v>141</v>
      </c>
      <c r="D17" s="125" t="s">
        <v>64</v>
      </c>
      <c r="E17" s="15">
        <v>16571</v>
      </c>
      <c r="F17" s="19">
        <v>20262</v>
      </c>
      <c r="G17" s="16">
        <f t="shared" si="0"/>
        <v>0.39429617385</v>
      </c>
      <c r="H17" s="20">
        <v>0.324729066969038</v>
      </c>
      <c r="I17" s="43">
        <f t="shared" si="2"/>
        <v>0.719025240819038</v>
      </c>
      <c r="J17" s="53"/>
    </row>
    <row r="18" ht="15.75" spans="1:10">
      <c r="A18" s="9">
        <v>5</v>
      </c>
      <c r="B18" s="9">
        <v>2021</v>
      </c>
      <c r="C18" s="9" t="s">
        <v>140</v>
      </c>
      <c r="D18" s="125" t="s">
        <v>139</v>
      </c>
      <c r="E18" s="187">
        <v>1629</v>
      </c>
      <c r="F18" s="19">
        <v>1346</v>
      </c>
      <c r="G18" s="16">
        <f t="shared" si="0"/>
        <v>0.03876099615</v>
      </c>
      <c r="H18" s="20">
        <v>0.0137059520692143</v>
      </c>
      <c r="I18" s="43">
        <f t="shared" si="2"/>
        <v>0.0524669482192143</v>
      </c>
      <c r="J18" s="53"/>
    </row>
    <row r="19" ht="28.95" customHeight="1" spans="1:10">
      <c r="A19" s="9"/>
      <c r="B19" s="9"/>
      <c r="C19" s="9" t="s">
        <v>141</v>
      </c>
      <c r="D19" s="125" t="s">
        <v>64</v>
      </c>
      <c r="E19" s="15">
        <v>18918</v>
      </c>
      <c r="F19" s="19">
        <v>7219</v>
      </c>
      <c r="G19" s="16">
        <f t="shared" si="0"/>
        <v>0.4501415133</v>
      </c>
      <c r="H19" s="20">
        <v>0.1916133672675</v>
      </c>
      <c r="I19" s="43">
        <f t="shared" si="2"/>
        <v>0.6417548805675</v>
      </c>
      <c r="J19" s="53"/>
    </row>
    <row r="21" ht="15.75" spans="1:9">
      <c r="A21" s="4" t="s">
        <v>81</v>
      </c>
      <c r="B21" s="33"/>
      <c r="C21" s="33"/>
      <c r="D21" s="33"/>
      <c r="F21" s="34"/>
      <c r="G21" s="8" t="s">
        <v>8</v>
      </c>
      <c r="H21" s="8"/>
      <c r="I21" s="8"/>
    </row>
    <row r="22" ht="63" spans="1:9">
      <c r="A22" s="63" t="s">
        <v>9</v>
      </c>
      <c r="B22" s="63" t="s">
        <v>10</v>
      </c>
      <c r="C22" s="63" t="s">
        <v>11</v>
      </c>
      <c r="D22" s="63" t="s">
        <v>83</v>
      </c>
      <c r="E22" s="63" t="s">
        <v>13</v>
      </c>
      <c r="F22" s="63" t="s">
        <v>84</v>
      </c>
      <c r="G22" s="63" t="s">
        <v>15</v>
      </c>
      <c r="H22" s="63" t="s">
        <v>16</v>
      </c>
      <c r="I22" s="63" t="s">
        <v>17</v>
      </c>
    </row>
    <row r="23" ht="15.75" spans="1:9">
      <c r="A23" s="196" t="s">
        <v>18</v>
      </c>
      <c r="B23" s="196" t="s">
        <v>19</v>
      </c>
      <c r="C23" s="196" t="s">
        <v>20</v>
      </c>
      <c r="D23" s="196" t="s">
        <v>21</v>
      </c>
      <c r="E23" s="196" t="s">
        <v>22</v>
      </c>
      <c r="F23" s="196" t="s">
        <v>23</v>
      </c>
      <c r="G23" s="196" t="s">
        <v>24</v>
      </c>
      <c r="H23" s="196" t="s">
        <v>25</v>
      </c>
      <c r="I23" s="62" t="s">
        <v>26</v>
      </c>
    </row>
    <row r="24" ht="88.2" customHeight="1" spans="1:9">
      <c r="A24" s="197" t="s">
        <v>142</v>
      </c>
      <c r="B24" s="198"/>
      <c r="C24" s="198"/>
      <c r="D24" s="198"/>
      <c r="E24" s="198"/>
      <c r="F24" s="198"/>
      <c r="G24" s="198"/>
      <c r="H24" s="198"/>
      <c r="I24" s="206"/>
    </row>
    <row r="26" ht="19.5" customHeight="1" spans="1:9">
      <c r="A26" s="31" t="s">
        <v>102</v>
      </c>
      <c r="B26" s="31"/>
      <c r="C26" s="31"/>
      <c r="D26" s="31"/>
      <c r="E26" s="31"/>
      <c r="F26" s="31"/>
      <c r="G26" s="31"/>
      <c r="H26" s="31"/>
      <c r="I26" s="31"/>
    </row>
    <row r="27" ht="15.75" spans="1:9">
      <c r="A27" s="4" t="s">
        <v>7</v>
      </c>
      <c r="B27" s="4"/>
      <c r="C27" s="4"/>
      <c r="D27" s="32"/>
      <c r="E27" s="40" t="s">
        <v>8</v>
      </c>
      <c r="F27" s="40"/>
      <c r="G27" s="40"/>
      <c r="H27" s="40"/>
      <c r="I27" s="40"/>
    </row>
    <row r="28" ht="47.25" spans="1:9">
      <c r="A28" s="100" t="s">
        <v>103</v>
      </c>
      <c r="B28" s="100" t="s">
        <v>104</v>
      </c>
      <c r="C28" s="100" t="s">
        <v>11</v>
      </c>
      <c r="D28" s="100" t="s">
        <v>12</v>
      </c>
      <c r="E28" s="100" t="s">
        <v>13</v>
      </c>
      <c r="F28" s="100" t="s">
        <v>84</v>
      </c>
      <c r="G28" s="100" t="s">
        <v>15</v>
      </c>
      <c r="H28" s="100" t="s">
        <v>16</v>
      </c>
      <c r="I28" s="100" t="s">
        <v>17</v>
      </c>
    </row>
    <row r="29" ht="15.75" spans="1:9">
      <c r="A29" s="71" t="s">
        <v>18</v>
      </c>
      <c r="B29" s="10" t="s">
        <v>19</v>
      </c>
      <c r="C29" s="9" t="s">
        <v>20</v>
      </c>
      <c r="D29" s="10" t="s">
        <v>21</v>
      </c>
      <c r="E29" s="10" t="s">
        <v>22</v>
      </c>
      <c r="F29" s="10" t="s">
        <v>23</v>
      </c>
      <c r="G29" s="10" t="s">
        <v>24</v>
      </c>
      <c r="H29" s="10" t="s">
        <v>25</v>
      </c>
      <c r="I29" s="10" t="s">
        <v>26</v>
      </c>
    </row>
    <row r="30" ht="15.75" spans="1:9">
      <c r="A30" s="70">
        <v>1</v>
      </c>
      <c r="B30" s="70">
        <v>2025</v>
      </c>
      <c r="C30" s="15" t="s">
        <v>140</v>
      </c>
      <c r="D30" s="125" t="s">
        <v>139</v>
      </c>
      <c r="E30" s="187">
        <v>1718</v>
      </c>
      <c r="F30" s="19">
        <v>1438</v>
      </c>
      <c r="G30" s="16">
        <f>E30*(65.19*365)/POWER(10,9)</f>
        <v>0.0408786933</v>
      </c>
      <c r="H30" s="20">
        <v>0.0116037488292429</v>
      </c>
      <c r="I30" s="154">
        <f>G30+H30</f>
        <v>0.0524824421292429</v>
      </c>
    </row>
    <row r="31" ht="15.75" spans="1:9">
      <c r="A31" s="84"/>
      <c r="B31" s="84"/>
      <c r="C31" s="15" t="s">
        <v>60</v>
      </c>
      <c r="D31" s="125" t="s">
        <v>64</v>
      </c>
      <c r="E31" s="187">
        <v>20078</v>
      </c>
      <c r="F31" s="19">
        <v>5540</v>
      </c>
      <c r="G31" s="16">
        <f>E31*(65.19*365)/POWER(10,9)</f>
        <v>0.4777429593</v>
      </c>
      <c r="H31" s="20">
        <v>0.142526276969</v>
      </c>
      <c r="I31" s="154">
        <f>G31+H31</f>
        <v>0.620269236269</v>
      </c>
    </row>
    <row r="32" ht="15.75" spans="1:9">
      <c r="A32" s="70">
        <v>2</v>
      </c>
      <c r="B32" s="70">
        <v>2050</v>
      </c>
      <c r="C32" s="15" t="s">
        <v>140</v>
      </c>
      <c r="D32" s="125" t="s">
        <v>139</v>
      </c>
      <c r="E32" s="187">
        <v>2414</v>
      </c>
      <c r="F32" s="19">
        <v>2158</v>
      </c>
      <c r="G32" s="16">
        <f>E32*(65.19*365)/POWER(10,9)</f>
        <v>0.0574395609</v>
      </c>
      <c r="H32" s="20">
        <v>0.00422399231163571</v>
      </c>
      <c r="I32" s="154">
        <f>G32+H32</f>
        <v>0.0616635532116357</v>
      </c>
    </row>
    <row r="33" ht="15.75" spans="1:9">
      <c r="A33" s="84"/>
      <c r="B33" s="84"/>
      <c r="C33" s="15" t="s">
        <v>60</v>
      </c>
      <c r="D33" s="125" t="s">
        <v>64</v>
      </c>
      <c r="E33" s="187">
        <v>30187</v>
      </c>
      <c r="F33" s="19">
        <v>405</v>
      </c>
      <c r="G33" s="16">
        <f>E33*(65.19*365)/POWER(10,9)</f>
        <v>0.71828004345</v>
      </c>
      <c r="H33" s="20">
        <v>0.007429438198</v>
      </c>
      <c r="I33" s="154">
        <f>G33+H33</f>
        <v>0.725709481648</v>
      </c>
    </row>
    <row r="35" ht="15.75" spans="1:9">
      <c r="A35" s="4" t="s">
        <v>105</v>
      </c>
      <c r="B35" s="33"/>
      <c r="C35" s="33"/>
      <c r="D35" s="33"/>
      <c r="E35" s="33"/>
      <c r="G35" s="199" t="s">
        <v>8</v>
      </c>
      <c r="H35" s="199"/>
      <c r="I35" s="199"/>
    </row>
    <row r="36" ht="47.25" spans="1:9">
      <c r="A36" s="100" t="s">
        <v>103</v>
      </c>
      <c r="B36" s="100" t="s">
        <v>104</v>
      </c>
      <c r="C36" s="100" t="s">
        <v>11</v>
      </c>
      <c r="D36" s="100" t="s">
        <v>106</v>
      </c>
      <c r="E36" s="100" t="s">
        <v>13</v>
      </c>
      <c r="F36" s="100" t="s">
        <v>84</v>
      </c>
      <c r="G36" s="100" t="s">
        <v>15</v>
      </c>
      <c r="H36" s="100" t="s">
        <v>16</v>
      </c>
      <c r="I36" s="100" t="s">
        <v>17</v>
      </c>
    </row>
    <row r="37" ht="15.75" spans="1:9">
      <c r="A37" s="9" t="s">
        <v>18</v>
      </c>
      <c r="B37" s="10" t="s">
        <v>19</v>
      </c>
      <c r="C37" s="9" t="s">
        <v>20</v>
      </c>
      <c r="D37" s="11" t="s">
        <v>21</v>
      </c>
      <c r="E37" s="11" t="s">
        <v>22</v>
      </c>
      <c r="F37" s="11" t="s">
        <v>23</v>
      </c>
      <c r="G37" s="11" t="s">
        <v>24</v>
      </c>
      <c r="H37" s="11" t="s">
        <v>25</v>
      </c>
      <c r="I37" s="10" t="s">
        <v>26</v>
      </c>
    </row>
    <row r="38" spans="1:9">
      <c r="A38" s="200" t="s">
        <v>143</v>
      </c>
      <c r="B38" s="201"/>
      <c r="C38" s="201"/>
      <c r="D38" s="201"/>
      <c r="E38" s="201"/>
      <c r="F38" s="201"/>
      <c r="G38" s="201"/>
      <c r="H38" s="201"/>
      <c r="I38" s="207"/>
    </row>
    <row r="39" spans="1:9">
      <c r="A39" s="202"/>
      <c r="B39" s="203"/>
      <c r="C39" s="203"/>
      <c r="D39" s="203"/>
      <c r="E39" s="203"/>
      <c r="F39" s="203"/>
      <c r="G39" s="203"/>
      <c r="H39" s="203"/>
      <c r="I39" s="208"/>
    </row>
    <row r="40" spans="1:9">
      <c r="A40" s="202"/>
      <c r="B40" s="203"/>
      <c r="C40" s="203"/>
      <c r="D40" s="203"/>
      <c r="E40" s="203"/>
      <c r="F40" s="203"/>
      <c r="G40" s="203"/>
      <c r="H40" s="203"/>
      <c r="I40" s="208"/>
    </row>
    <row r="41" spans="1:9">
      <c r="A41" s="204"/>
      <c r="B41" s="205"/>
      <c r="C41" s="205"/>
      <c r="D41" s="205"/>
      <c r="E41" s="205"/>
      <c r="F41" s="205"/>
      <c r="G41" s="205"/>
      <c r="H41" s="205"/>
      <c r="I41" s="209"/>
    </row>
    <row r="44" ht="39.6" customHeight="1" spans="1:9">
      <c r="A44" s="45" t="s">
        <v>108</v>
      </c>
      <c r="B44" s="7" t="s">
        <v>109</v>
      </c>
      <c r="C44" s="46"/>
      <c r="D44" s="46"/>
      <c r="E44" s="46"/>
      <c r="F44" s="46"/>
      <c r="G44" s="46"/>
      <c r="H44" s="46"/>
      <c r="I44" s="46"/>
    </row>
    <row r="45" ht="34.2" customHeight="1" spans="1:9">
      <c r="A45" s="46"/>
      <c r="B45" s="7" t="s">
        <v>110</v>
      </c>
      <c r="C45" s="47"/>
      <c r="D45" s="47"/>
      <c r="E45" s="47"/>
      <c r="F45" s="47"/>
      <c r="G45" s="47"/>
      <c r="H45" s="47"/>
      <c r="I45" s="47"/>
    </row>
    <row r="46" spans="2:2">
      <c r="B46" s="48" t="s">
        <v>111</v>
      </c>
    </row>
    <row r="47" s="2" customFormat="1" ht="15" customHeight="1" spans="2:2">
      <c r="B47" s="49" t="s">
        <v>112</v>
      </c>
    </row>
    <row r="48" s="2" customFormat="1" ht="15" customHeight="1" spans="2:2">
      <c r="B48" s="50" t="s">
        <v>113</v>
      </c>
    </row>
    <row r="49" s="2" customFormat="1" ht="15" customHeight="1" spans="2:2">
      <c r="B49" s="50" t="s">
        <v>114</v>
      </c>
    </row>
    <row r="50" s="2" customFormat="1" spans="2:2">
      <c r="B50" s="51"/>
    </row>
    <row r="51" s="2" customFormat="1" spans="2:2">
      <c r="B51" s="49" t="s">
        <v>115</v>
      </c>
    </row>
    <row r="52" s="2" customFormat="1" ht="16.5" customHeight="1" spans="2:2">
      <c r="B52" s="50" t="s">
        <v>116</v>
      </c>
    </row>
    <row r="53" s="2" customFormat="1" ht="16.5" customHeight="1" spans="2:2">
      <c r="B53" s="50" t="s">
        <v>117</v>
      </c>
    </row>
    <row r="54" spans="2:2">
      <c r="B54" s="55"/>
    </row>
    <row r="55" spans="2:2">
      <c r="B55" s="49" t="s">
        <v>118</v>
      </c>
    </row>
    <row r="56" spans="2:2">
      <c r="B56" s="56" t="s">
        <v>119</v>
      </c>
    </row>
    <row r="57" spans="2:2">
      <c r="B57" s="56" t="s">
        <v>120</v>
      </c>
    </row>
    <row r="58" spans="2:2">
      <c r="B58" s="56" t="s">
        <v>121</v>
      </c>
    </row>
    <row r="59" spans="2:2">
      <c r="B59" s="56" t="s">
        <v>122</v>
      </c>
    </row>
    <row r="60" spans="2:2">
      <c r="B60" s="49" t="s">
        <v>123</v>
      </c>
    </row>
    <row r="61" spans="2:2">
      <c r="B61" s="49" t="s">
        <v>124</v>
      </c>
    </row>
    <row r="62" spans="2:2">
      <c r="B62" s="56" t="s">
        <v>125</v>
      </c>
    </row>
    <row r="63" spans="2:2">
      <c r="B63" s="56" t="s">
        <v>126</v>
      </c>
    </row>
    <row r="64" spans="2:2">
      <c r="B64" s="56" t="s">
        <v>127</v>
      </c>
    </row>
    <row r="65" spans="2:2">
      <c r="B65" s="56" t="s">
        <v>128</v>
      </c>
    </row>
    <row r="66" spans="2:2">
      <c r="B66" s="56" t="s">
        <v>129</v>
      </c>
    </row>
    <row r="67" spans="2:2">
      <c r="B67" s="56"/>
    </row>
    <row r="68" spans="2:2">
      <c r="B68" s="49" t="s">
        <v>130</v>
      </c>
    </row>
    <row r="69" ht="15.75" spans="2:2">
      <c r="B69" s="57"/>
    </row>
    <row r="70" spans="2:2">
      <c r="B70" s="58" t="s">
        <v>131</v>
      </c>
    </row>
    <row r="71" spans="2:2">
      <c r="B71" s="58" t="s">
        <v>132</v>
      </c>
    </row>
    <row r="72" spans="2:2">
      <c r="B72" s="59" t="s">
        <v>133</v>
      </c>
    </row>
    <row r="73" spans="2:2">
      <c r="B73" s="60"/>
    </row>
    <row r="100" ht="19.5" customHeight="1"/>
    <row r="101" ht="19.5" customHeight="1"/>
    <row r="102" ht="19.5" customHeight="1"/>
    <row r="103" ht="19.5" customHeight="1"/>
    <row r="104" ht="19.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7" ht="15" customHeight="1"/>
    <row r="118" ht="15" customHeight="1"/>
    <row r="119" ht="15" customHeight="1"/>
    <row r="122" ht="16.5" customHeight="1"/>
    <row r="123" ht="16.5" customHeight="1"/>
    <row r="124" ht="16.5" customHeight="1"/>
    <row r="125" ht="16.5" customHeight="1"/>
    <row r="126" ht="16.5" customHeight="1"/>
    <row r="139" ht="13.95" customHeight="1"/>
    <row r="140" ht="13.95" customHeight="1"/>
    <row r="141" ht="13.95" customHeight="1"/>
    <row r="142" ht="13.95" customHeight="1"/>
  </sheetData>
  <mergeCells count="26">
    <mergeCell ref="A2:I2"/>
    <mergeCell ref="A3:D3"/>
    <mergeCell ref="A4:D4"/>
    <mergeCell ref="A5:E5"/>
    <mergeCell ref="G7:I7"/>
    <mergeCell ref="G21:I21"/>
    <mergeCell ref="A24:I24"/>
    <mergeCell ref="E27:I27"/>
    <mergeCell ref="G35:I35"/>
    <mergeCell ref="B44:I44"/>
    <mergeCell ref="B45:I45"/>
    <mergeCell ref="A10:A11"/>
    <mergeCell ref="A12:A13"/>
    <mergeCell ref="A14:A15"/>
    <mergeCell ref="A16:A17"/>
    <mergeCell ref="A18:A19"/>
    <mergeCell ref="A30:A31"/>
    <mergeCell ref="A32:A33"/>
    <mergeCell ref="B10:B11"/>
    <mergeCell ref="B12:B13"/>
    <mergeCell ref="B14:B15"/>
    <mergeCell ref="B16:B17"/>
    <mergeCell ref="B18:B19"/>
    <mergeCell ref="B30:B31"/>
    <mergeCell ref="B32:B33"/>
    <mergeCell ref="A38:I41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2" manualBreakCount="2">
    <brk id="19" max="16383" man="1"/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803"/>
  <sheetViews>
    <sheetView view="pageBreakPreview" zoomScaleNormal="100" topLeftCell="A779" workbookViewId="0">
      <selection activeCell="O8" sqref="O8"/>
    </sheetView>
  </sheetViews>
  <sheetFormatPr defaultColWidth="9" defaultRowHeight="14.25"/>
  <cols>
    <col min="1" max="1" width="5.4" customWidth="1"/>
    <col min="2" max="2" width="20.2" customWidth="1"/>
    <col min="3" max="3" width="13.6" customWidth="1"/>
    <col min="4" max="4" width="22.6" customWidth="1"/>
    <col min="5" max="6" width="12.6" customWidth="1"/>
    <col min="7" max="7" width="12.7" customWidth="1"/>
    <col min="8" max="8" width="9.5" customWidth="1"/>
    <col min="9" max="9" width="14.7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customHeight="1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s="1" customFormat="1" ht="15.75" customHeight="1" spans="1:9">
      <c r="A3" s="7" t="s">
        <v>144</v>
      </c>
      <c r="B3" s="7"/>
      <c r="C3" s="7"/>
      <c r="D3" s="7"/>
      <c r="E3" s="7"/>
      <c r="F3" s="7"/>
      <c r="G3" s="7"/>
      <c r="H3" s="7"/>
      <c r="I3" s="7"/>
    </row>
    <row r="4" s="1" customFormat="1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1" customFormat="1" ht="15.75" spans="1:9">
      <c r="A5" s="5" t="s">
        <v>145</v>
      </c>
      <c r="B5" s="5"/>
      <c r="C5" s="5"/>
      <c r="D5" s="5"/>
      <c r="E5" s="5"/>
      <c r="F5" s="5"/>
      <c r="G5" s="5"/>
      <c r="H5" s="5"/>
      <c r="I5" s="5"/>
    </row>
    <row r="6" s="1" customFormat="1" ht="15.75" spans="1:9">
      <c r="A6" s="5"/>
      <c r="B6" s="5"/>
      <c r="C6" s="5" t="s">
        <v>146</v>
      </c>
      <c r="D6" s="5"/>
      <c r="E6" s="5"/>
      <c r="F6" s="5"/>
      <c r="G6" s="5"/>
      <c r="H6" s="5"/>
      <c r="I6" s="5"/>
    </row>
    <row r="7" ht="15.75" spans="1:9">
      <c r="A7" s="5" t="s">
        <v>138</v>
      </c>
      <c r="B7" s="5"/>
      <c r="C7" s="5"/>
      <c r="D7" s="5"/>
      <c r="E7" s="5"/>
      <c r="F7" s="5"/>
      <c r="G7" s="5"/>
      <c r="H7" s="5"/>
      <c r="I7" s="5"/>
    </row>
    <row r="8" ht="15.75" customHeight="1" spans="1:9">
      <c r="A8" s="6" t="s">
        <v>7</v>
      </c>
      <c r="B8" s="6"/>
      <c r="C8" s="6"/>
      <c r="D8" s="6"/>
      <c r="E8" s="7"/>
      <c r="F8" s="181" t="s">
        <v>8</v>
      </c>
      <c r="G8" s="181"/>
      <c r="H8" s="181"/>
      <c r="I8" s="181"/>
    </row>
    <row r="9" s="1" customFormat="1" ht="47.25" spans="1:9">
      <c r="A9" s="41" t="s">
        <v>9</v>
      </c>
      <c r="B9" s="35" t="s">
        <v>10</v>
      </c>
      <c r="C9" s="41" t="s">
        <v>11</v>
      </c>
      <c r="D9" s="35" t="s">
        <v>12</v>
      </c>
      <c r="E9" s="35" t="s">
        <v>13</v>
      </c>
      <c r="F9" s="35" t="s">
        <v>14</v>
      </c>
      <c r="G9" s="35" t="s">
        <v>15</v>
      </c>
      <c r="H9" s="35" t="s">
        <v>16</v>
      </c>
      <c r="I9" s="35" t="s">
        <v>17</v>
      </c>
    </row>
    <row r="10" s="1" customFormat="1" ht="15.75" spans="1:9">
      <c r="A10" s="41" t="s">
        <v>18</v>
      </c>
      <c r="B10" s="35" t="s">
        <v>19</v>
      </c>
      <c r="C10" s="41" t="s">
        <v>20</v>
      </c>
      <c r="D10" s="35" t="s">
        <v>21</v>
      </c>
      <c r="E10" s="35" t="s">
        <v>22</v>
      </c>
      <c r="F10" s="35" t="s">
        <v>23</v>
      </c>
      <c r="G10" s="35" t="s">
        <v>24</v>
      </c>
      <c r="H10" s="35" t="s">
        <v>25</v>
      </c>
      <c r="I10" s="35" t="s">
        <v>26</v>
      </c>
    </row>
    <row r="11" customHeight="1" spans="1:9">
      <c r="A11" s="71">
        <v>1</v>
      </c>
      <c r="B11" s="71">
        <v>1981</v>
      </c>
      <c r="C11" s="10" t="s">
        <v>48</v>
      </c>
      <c r="D11" s="13" t="s">
        <v>147</v>
      </c>
      <c r="E11" s="14">
        <v>138183</v>
      </c>
      <c r="F11" s="15" t="s">
        <v>29</v>
      </c>
      <c r="G11" s="16">
        <f>E11*(65.19*365)/POWER(10,9)</f>
        <v>3.28797466605</v>
      </c>
      <c r="H11" s="15" t="s">
        <v>29</v>
      </c>
      <c r="I11" s="16">
        <f>G11</f>
        <v>3.28797466605</v>
      </c>
    </row>
    <row r="12" customHeight="1" spans="1:9">
      <c r="A12" s="71"/>
      <c r="B12" s="71"/>
      <c r="C12" s="10"/>
      <c r="D12" s="13" t="s">
        <v>148</v>
      </c>
      <c r="E12" s="14">
        <v>117746</v>
      </c>
      <c r="F12" s="15" t="s">
        <v>29</v>
      </c>
      <c r="G12" s="16">
        <f t="shared" ref="G12:G63" si="0">E12*(65.19*365)/POWER(10,9)</f>
        <v>2.8016895351</v>
      </c>
      <c r="H12" s="15" t="s">
        <v>29</v>
      </c>
      <c r="I12" s="16">
        <f t="shared" ref="I12:I75" si="1">G12</f>
        <v>2.8016895351</v>
      </c>
    </row>
    <row r="13" customHeight="1" spans="1:9">
      <c r="A13" s="71"/>
      <c r="B13" s="71"/>
      <c r="C13" s="10"/>
      <c r="D13" s="13" t="s">
        <v>149</v>
      </c>
      <c r="E13" s="14">
        <v>187535</v>
      </c>
      <c r="F13" s="15" t="s">
        <v>29</v>
      </c>
      <c r="G13" s="16">
        <f t="shared" si="0"/>
        <v>4.46227342725</v>
      </c>
      <c r="H13" s="15" t="s">
        <v>29</v>
      </c>
      <c r="I13" s="16">
        <f t="shared" si="1"/>
        <v>4.46227342725</v>
      </c>
    </row>
    <row r="14" customHeight="1" spans="1:9">
      <c r="A14" s="71"/>
      <c r="B14" s="71"/>
      <c r="C14" s="10"/>
      <c r="D14" s="13" t="s">
        <v>150</v>
      </c>
      <c r="E14" s="14">
        <v>133748</v>
      </c>
      <c r="F14" s="15" t="s">
        <v>29</v>
      </c>
      <c r="G14" s="16">
        <f t="shared" si="0"/>
        <v>3.1824467238</v>
      </c>
      <c r="H14" s="15" t="s">
        <v>29</v>
      </c>
      <c r="I14" s="16">
        <f t="shared" si="1"/>
        <v>3.1824467238</v>
      </c>
    </row>
    <row r="15" customHeight="1" spans="1:9">
      <c r="A15" s="71"/>
      <c r="B15" s="71"/>
      <c r="C15" s="10"/>
      <c r="D15" s="13" t="s">
        <v>151</v>
      </c>
      <c r="E15" s="14">
        <v>91984</v>
      </c>
      <c r="F15" s="15" t="s">
        <v>29</v>
      </c>
      <c r="G15" s="16">
        <f t="shared" si="0"/>
        <v>2.1886994904</v>
      </c>
      <c r="H15" s="15" t="s">
        <v>29</v>
      </c>
      <c r="I15" s="16">
        <f t="shared" si="1"/>
        <v>2.1886994904</v>
      </c>
    </row>
    <row r="16" customHeight="1" spans="1:9">
      <c r="A16" s="71"/>
      <c r="B16" s="71"/>
      <c r="C16" s="10"/>
      <c r="D16" s="13" t="s">
        <v>152</v>
      </c>
      <c r="E16" s="14">
        <v>7156</v>
      </c>
      <c r="F16" s="15" t="s">
        <v>29</v>
      </c>
      <c r="G16" s="16">
        <f t="shared" si="0"/>
        <v>0.1702723686</v>
      </c>
      <c r="H16" s="15" t="s">
        <v>29</v>
      </c>
      <c r="I16" s="16">
        <f t="shared" si="1"/>
        <v>0.1702723686</v>
      </c>
    </row>
    <row r="17" customHeight="1" spans="1:9">
      <c r="A17" s="71"/>
      <c r="B17" s="71"/>
      <c r="C17" s="10"/>
      <c r="D17" s="13" t="s">
        <v>153</v>
      </c>
      <c r="E17" s="14">
        <v>106474</v>
      </c>
      <c r="F17" s="15" t="s">
        <v>29</v>
      </c>
      <c r="G17" s="16">
        <f t="shared" si="0"/>
        <v>2.5334796219</v>
      </c>
      <c r="H17" s="15" t="s">
        <v>29</v>
      </c>
      <c r="I17" s="16">
        <f t="shared" si="1"/>
        <v>2.5334796219</v>
      </c>
    </row>
    <row r="18" customHeight="1" spans="1:9">
      <c r="A18" s="71"/>
      <c r="B18" s="71"/>
      <c r="C18" s="10"/>
      <c r="D18" s="13" t="s">
        <v>154</v>
      </c>
      <c r="E18" s="14">
        <v>89910</v>
      </c>
      <c r="F18" s="15" t="s">
        <v>29</v>
      </c>
      <c r="G18" s="16">
        <f t="shared" si="0"/>
        <v>2.1393500085</v>
      </c>
      <c r="H18" s="15" t="s">
        <v>29</v>
      </c>
      <c r="I18" s="16">
        <f t="shared" si="1"/>
        <v>2.1393500085</v>
      </c>
    </row>
    <row r="19" customHeight="1" spans="1:9">
      <c r="A19" s="71"/>
      <c r="B19" s="71"/>
      <c r="C19" s="10"/>
      <c r="D19" s="13" t="s">
        <v>155</v>
      </c>
      <c r="E19" s="14">
        <v>282626</v>
      </c>
      <c r="F19" s="15" t="s">
        <v>29</v>
      </c>
      <c r="G19" s="16">
        <f t="shared" si="0"/>
        <v>6.7249019631</v>
      </c>
      <c r="H19" s="15" t="s">
        <v>29</v>
      </c>
      <c r="I19" s="16">
        <f t="shared" si="1"/>
        <v>6.7249019631</v>
      </c>
    </row>
    <row r="20" customHeight="1" spans="1:9">
      <c r="A20" s="71"/>
      <c r="B20" s="71"/>
      <c r="C20" s="10"/>
      <c r="D20" s="13" t="s">
        <v>156</v>
      </c>
      <c r="E20" s="14">
        <v>729</v>
      </c>
      <c r="F20" s="15" t="s">
        <v>29</v>
      </c>
      <c r="G20" s="16">
        <f t="shared" si="0"/>
        <v>0.01734608115</v>
      </c>
      <c r="H20" s="15" t="s">
        <v>29</v>
      </c>
      <c r="I20" s="16">
        <f t="shared" si="1"/>
        <v>0.01734608115</v>
      </c>
    </row>
    <row r="21" customHeight="1" spans="1:9">
      <c r="A21" s="71"/>
      <c r="B21" s="71"/>
      <c r="C21" s="10"/>
      <c r="D21" s="13" t="s">
        <v>157</v>
      </c>
      <c r="E21" s="14">
        <v>66632</v>
      </c>
      <c r="F21" s="15" t="s">
        <v>29</v>
      </c>
      <c r="G21" s="16">
        <f t="shared" si="0"/>
        <v>1.5854651292</v>
      </c>
      <c r="H21" s="15" t="s">
        <v>29</v>
      </c>
      <c r="I21" s="16">
        <f t="shared" si="1"/>
        <v>1.5854651292</v>
      </c>
    </row>
    <row r="22" customHeight="1" spans="1:9">
      <c r="A22" s="71"/>
      <c r="B22" s="71"/>
      <c r="C22" s="10"/>
      <c r="D22" s="13" t="s">
        <v>57</v>
      </c>
      <c r="E22" s="14">
        <v>51181</v>
      </c>
      <c r="F22" s="15" t="s">
        <v>29</v>
      </c>
      <c r="G22" s="16">
        <f t="shared" si="0"/>
        <v>1.21781862735</v>
      </c>
      <c r="H22" s="15" t="s">
        <v>29</v>
      </c>
      <c r="I22" s="16">
        <f t="shared" si="1"/>
        <v>1.21781862735</v>
      </c>
    </row>
    <row r="23" customHeight="1" spans="1:9">
      <c r="A23" s="71"/>
      <c r="B23" s="71"/>
      <c r="C23" s="10"/>
      <c r="D23" s="13" t="s">
        <v>52</v>
      </c>
      <c r="E23" s="14">
        <v>42214</v>
      </c>
      <c r="F23" s="15" t="s">
        <v>29</v>
      </c>
      <c r="G23" s="16">
        <f t="shared" si="0"/>
        <v>1.0044546909</v>
      </c>
      <c r="H23" s="15" t="s">
        <v>29</v>
      </c>
      <c r="I23" s="16">
        <f t="shared" si="1"/>
        <v>1.0044546909</v>
      </c>
    </row>
    <row r="24" customHeight="1" spans="1:9">
      <c r="A24" s="71"/>
      <c r="B24" s="71"/>
      <c r="C24" s="10"/>
      <c r="D24" s="13" t="s">
        <v>158</v>
      </c>
      <c r="E24" s="14">
        <v>75427</v>
      </c>
      <c r="F24" s="15" t="s">
        <v>29</v>
      </c>
      <c r="G24" s="16">
        <f t="shared" si="0"/>
        <v>1.79473643745</v>
      </c>
      <c r="H24" s="15" t="s">
        <v>29</v>
      </c>
      <c r="I24" s="16">
        <f t="shared" si="1"/>
        <v>1.79473643745</v>
      </c>
    </row>
    <row r="25" customHeight="1" spans="1:9">
      <c r="A25" s="71"/>
      <c r="B25" s="71"/>
      <c r="C25" s="10"/>
      <c r="D25" s="13" t="s">
        <v>77</v>
      </c>
      <c r="E25" s="14">
        <v>18525</v>
      </c>
      <c r="F25" s="15" t="s">
        <v>29</v>
      </c>
      <c r="G25" s="16">
        <f t="shared" si="0"/>
        <v>0.44079033375</v>
      </c>
      <c r="H25" s="15" t="s">
        <v>29</v>
      </c>
      <c r="I25" s="16">
        <f t="shared" si="1"/>
        <v>0.44079033375</v>
      </c>
    </row>
    <row r="26" customHeight="1" spans="1:9">
      <c r="A26" s="71"/>
      <c r="B26" s="71"/>
      <c r="C26" s="10" t="s">
        <v>27</v>
      </c>
      <c r="D26" s="13" t="s">
        <v>28</v>
      </c>
      <c r="E26" s="14">
        <v>125648</v>
      </c>
      <c r="F26" s="15" t="s">
        <v>29</v>
      </c>
      <c r="G26" s="16">
        <f t="shared" si="0"/>
        <v>2.9897124888</v>
      </c>
      <c r="H26" s="15" t="s">
        <v>29</v>
      </c>
      <c r="I26" s="16">
        <f t="shared" si="1"/>
        <v>2.9897124888</v>
      </c>
    </row>
    <row r="27" customHeight="1" spans="1:9">
      <c r="A27" s="71"/>
      <c r="B27" s="71"/>
      <c r="C27" s="10"/>
      <c r="D27" s="13" t="s">
        <v>30</v>
      </c>
      <c r="E27" s="14">
        <v>63926</v>
      </c>
      <c r="F27" s="15" t="s">
        <v>29</v>
      </c>
      <c r="G27" s="16">
        <f t="shared" si="0"/>
        <v>1.5210776181</v>
      </c>
      <c r="H27" s="15" t="s">
        <v>29</v>
      </c>
      <c r="I27" s="16">
        <f t="shared" si="1"/>
        <v>1.5210776181</v>
      </c>
    </row>
    <row r="28" customHeight="1" spans="1:9">
      <c r="A28" s="71"/>
      <c r="B28" s="71"/>
      <c r="C28" s="10"/>
      <c r="D28" s="13" t="s">
        <v>159</v>
      </c>
      <c r="E28" s="14">
        <v>121909</v>
      </c>
      <c r="F28" s="15" t="s">
        <v>29</v>
      </c>
      <c r="G28" s="16">
        <f t="shared" si="0"/>
        <v>2.90074541415</v>
      </c>
      <c r="H28" s="15" t="s">
        <v>29</v>
      </c>
      <c r="I28" s="16">
        <f t="shared" si="1"/>
        <v>2.90074541415</v>
      </c>
    </row>
    <row r="29" customHeight="1" spans="1:9">
      <c r="A29" s="71"/>
      <c r="B29" s="71"/>
      <c r="C29" s="10"/>
      <c r="D29" s="13" t="s">
        <v>31</v>
      </c>
      <c r="E29" s="14">
        <v>62984</v>
      </c>
      <c r="F29" s="15" t="s">
        <v>29</v>
      </c>
      <c r="G29" s="16">
        <f t="shared" si="0"/>
        <v>1.4986633404</v>
      </c>
      <c r="H29" s="15" t="s">
        <v>29</v>
      </c>
      <c r="I29" s="16">
        <f t="shared" si="1"/>
        <v>1.4986633404</v>
      </c>
    </row>
    <row r="30" customHeight="1" spans="1:9">
      <c r="A30" s="71"/>
      <c r="B30" s="71"/>
      <c r="C30" s="10"/>
      <c r="D30" s="13" t="s">
        <v>32</v>
      </c>
      <c r="E30" s="14">
        <v>37680</v>
      </c>
      <c r="F30" s="15" t="s">
        <v>29</v>
      </c>
      <c r="G30" s="16">
        <f t="shared" si="0"/>
        <v>0.896571108</v>
      </c>
      <c r="H30" s="15" t="s">
        <v>29</v>
      </c>
      <c r="I30" s="16">
        <f t="shared" si="1"/>
        <v>0.896571108</v>
      </c>
    </row>
    <row r="31" customHeight="1" spans="1:9">
      <c r="A31" s="71"/>
      <c r="B31" s="71"/>
      <c r="C31" s="10"/>
      <c r="D31" s="13" t="s">
        <v>160</v>
      </c>
      <c r="E31" s="14">
        <v>82654</v>
      </c>
      <c r="F31" s="15" t="s">
        <v>29</v>
      </c>
      <c r="G31" s="16">
        <f t="shared" si="0"/>
        <v>1.9666982049</v>
      </c>
      <c r="H31" s="15" t="s">
        <v>29</v>
      </c>
      <c r="I31" s="16">
        <f t="shared" si="1"/>
        <v>1.9666982049</v>
      </c>
    </row>
    <row r="32" customHeight="1" spans="1:9">
      <c r="A32" s="71"/>
      <c r="B32" s="71"/>
      <c r="C32" s="10"/>
      <c r="D32" s="13" t="s">
        <v>161</v>
      </c>
      <c r="E32" s="14">
        <v>61804</v>
      </c>
      <c r="F32" s="15" t="s">
        <v>29</v>
      </c>
      <c r="G32" s="16">
        <f t="shared" si="0"/>
        <v>1.4705860074</v>
      </c>
      <c r="H32" s="15" t="s">
        <v>29</v>
      </c>
      <c r="I32" s="16">
        <f t="shared" si="1"/>
        <v>1.4705860074</v>
      </c>
    </row>
    <row r="33" customHeight="1" spans="1:9">
      <c r="A33" s="71"/>
      <c r="B33" s="71"/>
      <c r="C33" s="10"/>
      <c r="D33" s="13" t="s">
        <v>33</v>
      </c>
      <c r="E33" s="14">
        <v>61873</v>
      </c>
      <c r="F33" s="15" t="s">
        <v>29</v>
      </c>
      <c r="G33" s="16">
        <f t="shared" si="0"/>
        <v>1.47222781755</v>
      </c>
      <c r="H33" s="15" t="s">
        <v>29</v>
      </c>
      <c r="I33" s="16">
        <f t="shared" si="1"/>
        <v>1.47222781755</v>
      </c>
    </row>
    <row r="34" customHeight="1" spans="1:9">
      <c r="A34" s="71"/>
      <c r="B34" s="71"/>
      <c r="C34" s="10"/>
      <c r="D34" s="13" t="s">
        <v>37</v>
      </c>
      <c r="E34" s="14">
        <v>26496</v>
      </c>
      <c r="F34" s="15" t="s">
        <v>29</v>
      </c>
      <c r="G34" s="16">
        <f t="shared" si="0"/>
        <v>0.6304550976</v>
      </c>
      <c r="H34" s="15" t="s">
        <v>29</v>
      </c>
      <c r="I34" s="16">
        <f t="shared" si="1"/>
        <v>0.6304550976</v>
      </c>
    </row>
    <row r="35" customHeight="1" spans="1:9">
      <c r="A35" s="71"/>
      <c r="B35" s="71"/>
      <c r="C35" s="10"/>
      <c r="D35" s="13" t="s">
        <v>39</v>
      </c>
      <c r="E35" s="14">
        <v>29718</v>
      </c>
      <c r="F35" s="15" t="s">
        <v>29</v>
      </c>
      <c r="G35" s="16">
        <f t="shared" si="0"/>
        <v>0.7071204933</v>
      </c>
      <c r="H35" s="15" t="s">
        <v>29</v>
      </c>
      <c r="I35" s="16">
        <f t="shared" si="1"/>
        <v>0.7071204933</v>
      </c>
    </row>
    <row r="36" ht="15.75" spans="1:9">
      <c r="A36" s="71"/>
      <c r="B36" s="71">
        <v>1981</v>
      </c>
      <c r="C36" s="9" t="s">
        <v>162</v>
      </c>
      <c r="D36" s="13" t="s">
        <v>163</v>
      </c>
      <c r="E36" s="14">
        <v>35586</v>
      </c>
      <c r="F36" s="15" t="s">
        <v>29</v>
      </c>
      <c r="G36" s="16">
        <f t="shared" si="0"/>
        <v>0.8467457391</v>
      </c>
      <c r="H36" s="15" t="s">
        <v>29</v>
      </c>
      <c r="I36" s="16">
        <f t="shared" si="1"/>
        <v>0.8467457391</v>
      </c>
    </row>
    <row r="37" ht="15.75" spans="1:9">
      <c r="A37" s="71"/>
      <c r="B37" s="71"/>
      <c r="C37" s="9"/>
      <c r="D37" s="13" t="s">
        <v>164</v>
      </c>
      <c r="E37" s="14">
        <v>84795</v>
      </c>
      <c r="F37" s="15" t="s">
        <v>29</v>
      </c>
      <c r="G37" s="16">
        <f t="shared" si="0"/>
        <v>2.01764190825</v>
      </c>
      <c r="H37" s="15" t="s">
        <v>29</v>
      </c>
      <c r="I37" s="16">
        <f t="shared" si="1"/>
        <v>2.01764190825</v>
      </c>
    </row>
    <row r="38" ht="15.75" spans="1:9">
      <c r="A38" s="71"/>
      <c r="B38" s="71"/>
      <c r="C38" s="9"/>
      <c r="D38" s="13" t="s">
        <v>165</v>
      </c>
      <c r="E38" s="14">
        <v>44073</v>
      </c>
      <c r="F38" s="15" t="s">
        <v>29</v>
      </c>
      <c r="G38" s="16">
        <f t="shared" si="0"/>
        <v>1.04868838755</v>
      </c>
      <c r="H38" s="15" t="s">
        <v>29</v>
      </c>
      <c r="I38" s="16">
        <f t="shared" si="1"/>
        <v>1.04868838755</v>
      </c>
    </row>
    <row r="39" ht="15.75" spans="1:9">
      <c r="A39" s="71"/>
      <c r="B39" s="71"/>
      <c r="C39" s="9"/>
      <c r="D39" s="13" t="s">
        <v>166</v>
      </c>
      <c r="E39" s="14">
        <v>102078</v>
      </c>
      <c r="F39" s="15" t="s">
        <v>29</v>
      </c>
      <c r="G39" s="16">
        <f t="shared" si="0"/>
        <v>2.4288796593</v>
      </c>
      <c r="H39" s="15" t="s">
        <v>29</v>
      </c>
      <c r="I39" s="16">
        <f t="shared" si="1"/>
        <v>2.4288796593</v>
      </c>
    </row>
    <row r="40" ht="15.75" spans="1:9">
      <c r="A40" s="71"/>
      <c r="B40" s="71"/>
      <c r="C40" s="9"/>
      <c r="D40" s="13" t="s">
        <v>162</v>
      </c>
      <c r="E40" s="14">
        <v>80079</v>
      </c>
      <c r="F40" s="15" t="s">
        <v>29</v>
      </c>
      <c r="G40" s="16">
        <f t="shared" si="0"/>
        <v>1.90542775365</v>
      </c>
      <c r="H40" s="15" t="s">
        <v>29</v>
      </c>
      <c r="I40" s="16">
        <f t="shared" si="1"/>
        <v>1.90542775365</v>
      </c>
    </row>
    <row r="41" ht="15.75" spans="1:9">
      <c r="A41" s="71"/>
      <c r="B41" s="71"/>
      <c r="C41" s="9"/>
      <c r="D41" s="13" t="s">
        <v>167</v>
      </c>
      <c r="E41" s="14">
        <v>88725</v>
      </c>
      <c r="F41" s="15" t="s">
        <v>29</v>
      </c>
      <c r="G41" s="16">
        <f t="shared" si="0"/>
        <v>2.11115370375</v>
      </c>
      <c r="H41" s="15" t="s">
        <v>29</v>
      </c>
      <c r="I41" s="16">
        <f t="shared" si="1"/>
        <v>2.11115370375</v>
      </c>
    </row>
    <row r="42" ht="15.75" spans="1:9">
      <c r="A42" s="71"/>
      <c r="B42" s="71"/>
      <c r="C42" s="9"/>
      <c r="D42" s="13" t="s">
        <v>168</v>
      </c>
      <c r="E42" s="14">
        <v>43</v>
      </c>
      <c r="F42" s="15" t="s">
        <v>29</v>
      </c>
      <c r="G42" s="16">
        <f t="shared" si="0"/>
        <v>0.00102315705</v>
      </c>
      <c r="H42" s="15" t="s">
        <v>29</v>
      </c>
      <c r="I42" s="16">
        <f t="shared" si="1"/>
        <v>0.00102315705</v>
      </c>
    </row>
    <row r="43" ht="15.75" spans="1:9">
      <c r="A43" s="71"/>
      <c r="B43" s="71"/>
      <c r="C43" s="9"/>
      <c r="D43" s="13" t="s">
        <v>169</v>
      </c>
      <c r="E43" s="14">
        <v>87835</v>
      </c>
      <c r="F43" s="15" t="s">
        <v>29</v>
      </c>
      <c r="G43" s="16">
        <f t="shared" si="0"/>
        <v>2.08997673225</v>
      </c>
      <c r="H43" s="15" t="s">
        <v>29</v>
      </c>
      <c r="I43" s="16">
        <f t="shared" si="1"/>
        <v>2.08997673225</v>
      </c>
    </row>
    <row r="44" ht="15.75" spans="1:9">
      <c r="A44" s="71"/>
      <c r="B44" s="71"/>
      <c r="C44" s="9"/>
      <c r="D44" s="13" t="s">
        <v>170</v>
      </c>
      <c r="E44" s="14">
        <v>43581</v>
      </c>
      <c r="F44" s="15" t="s">
        <v>29</v>
      </c>
      <c r="G44" s="16">
        <f t="shared" si="0"/>
        <v>1.03698156735</v>
      </c>
      <c r="H44" s="15" t="s">
        <v>29</v>
      </c>
      <c r="I44" s="16">
        <f t="shared" si="1"/>
        <v>1.03698156735</v>
      </c>
    </row>
    <row r="45" ht="15.75" spans="1:9">
      <c r="A45" s="71"/>
      <c r="B45" s="71"/>
      <c r="C45" s="9"/>
      <c r="D45" s="13" t="s">
        <v>171</v>
      </c>
      <c r="E45" s="14">
        <v>58409</v>
      </c>
      <c r="F45" s="15" t="s">
        <v>29</v>
      </c>
      <c r="G45" s="16">
        <f t="shared" si="0"/>
        <v>1.38980418915</v>
      </c>
      <c r="H45" s="15" t="s">
        <v>29</v>
      </c>
      <c r="I45" s="16">
        <f t="shared" si="1"/>
        <v>1.38980418915</v>
      </c>
    </row>
    <row r="46" ht="15.75" spans="1:9">
      <c r="A46" s="71"/>
      <c r="B46" s="71"/>
      <c r="C46" s="9"/>
      <c r="D46" s="13" t="s">
        <v>172</v>
      </c>
      <c r="E46" s="14">
        <v>43955</v>
      </c>
      <c r="F46" s="15" t="s">
        <v>29</v>
      </c>
      <c r="G46" s="16">
        <f t="shared" si="0"/>
        <v>1.04588065425</v>
      </c>
      <c r="H46" s="15" t="s">
        <v>29</v>
      </c>
      <c r="I46" s="16">
        <f t="shared" si="1"/>
        <v>1.04588065425</v>
      </c>
    </row>
    <row r="47" ht="15.75" spans="1:9">
      <c r="A47" s="71"/>
      <c r="B47" s="71"/>
      <c r="C47" s="9"/>
      <c r="D47" s="13" t="s">
        <v>173</v>
      </c>
      <c r="E47" s="14">
        <v>106587</v>
      </c>
      <c r="F47" s="15" t="s">
        <v>29</v>
      </c>
      <c r="G47" s="16">
        <f t="shared" si="0"/>
        <v>2.53616838345</v>
      </c>
      <c r="H47" s="15" t="s">
        <v>29</v>
      </c>
      <c r="I47" s="16">
        <f t="shared" si="1"/>
        <v>2.53616838345</v>
      </c>
    </row>
    <row r="48" ht="15.75" spans="1:9">
      <c r="A48" s="71"/>
      <c r="B48" s="71"/>
      <c r="C48" s="10" t="s">
        <v>65</v>
      </c>
      <c r="D48" s="13" t="s">
        <v>174</v>
      </c>
      <c r="E48" s="14">
        <v>104556</v>
      </c>
      <c r="F48" s="15" t="s">
        <v>29</v>
      </c>
      <c r="G48" s="16">
        <f t="shared" si="0"/>
        <v>2.4878420586</v>
      </c>
      <c r="H48" s="15" t="s">
        <v>29</v>
      </c>
      <c r="I48" s="16">
        <f t="shared" si="1"/>
        <v>2.4878420586</v>
      </c>
    </row>
    <row r="49" ht="15.75" spans="1:9">
      <c r="A49" s="71"/>
      <c r="B49" s="71"/>
      <c r="C49" s="10"/>
      <c r="D49" s="13" t="s">
        <v>175</v>
      </c>
      <c r="E49" s="14">
        <v>106232</v>
      </c>
      <c r="F49" s="15" t="s">
        <v>29</v>
      </c>
      <c r="G49" s="16">
        <f t="shared" si="0"/>
        <v>2.5277213892</v>
      </c>
      <c r="H49" s="15" t="s">
        <v>29</v>
      </c>
      <c r="I49" s="16">
        <f t="shared" si="1"/>
        <v>2.5277213892</v>
      </c>
    </row>
    <row r="50" ht="15.75" spans="1:9">
      <c r="A50" s="71"/>
      <c r="B50" s="71"/>
      <c r="C50" s="10"/>
      <c r="D50" s="13" t="s">
        <v>176</v>
      </c>
      <c r="E50" s="14">
        <v>110757</v>
      </c>
      <c r="F50" s="15" t="s">
        <v>29</v>
      </c>
      <c r="G50" s="16">
        <f t="shared" si="0"/>
        <v>2.63539082295</v>
      </c>
      <c r="H50" s="15" t="s">
        <v>29</v>
      </c>
      <c r="I50" s="16">
        <f t="shared" si="1"/>
        <v>2.63539082295</v>
      </c>
    </row>
    <row r="51" ht="15.75" spans="1:9">
      <c r="A51" s="71"/>
      <c r="B51" s="71"/>
      <c r="C51" s="10"/>
      <c r="D51" s="13" t="s">
        <v>177</v>
      </c>
      <c r="E51" s="14">
        <v>89271</v>
      </c>
      <c r="F51" s="15" t="s">
        <v>29</v>
      </c>
      <c r="G51" s="16">
        <f t="shared" si="0"/>
        <v>2.12414541885</v>
      </c>
      <c r="H51" s="15" t="s">
        <v>29</v>
      </c>
      <c r="I51" s="16">
        <f t="shared" si="1"/>
        <v>2.12414541885</v>
      </c>
    </row>
    <row r="52" ht="15.75" spans="1:9">
      <c r="A52" s="71"/>
      <c r="B52" s="71"/>
      <c r="C52" s="10"/>
      <c r="D52" s="13" t="s">
        <v>178</v>
      </c>
      <c r="E52" s="14">
        <v>71244</v>
      </c>
      <c r="F52" s="15" t="s">
        <v>29</v>
      </c>
      <c r="G52" s="16">
        <f t="shared" si="0"/>
        <v>1.6952046714</v>
      </c>
      <c r="H52" s="15" t="s">
        <v>29</v>
      </c>
      <c r="I52" s="16">
        <f t="shared" si="1"/>
        <v>1.6952046714</v>
      </c>
    </row>
    <row r="53" ht="15.75" spans="1:9">
      <c r="A53" s="71"/>
      <c r="B53" s="71"/>
      <c r="C53" s="10"/>
      <c r="D53" s="13" t="s">
        <v>179</v>
      </c>
      <c r="E53" s="14">
        <v>96017</v>
      </c>
      <c r="F53" s="15" t="s">
        <v>29</v>
      </c>
      <c r="G53" s="16">
        <f t="shared" si="0"/>
        <v>2.28466210395</v>
      </c>
      <c r="H53" s="15" t="s">
        <v>29</v>
      </c>
      <c r="I53" s="16">
        <f t="shared" si="1"/>
        <v>2.28466210395</v>
      </c>
    </row>
    <row r="54" ht="15.75" spans="1:9">
      <c r="A54" s="71"/>
      <c r="B54" s="71"/>
      <c r="C54" s="10"/>
      <c r="D54" s="13" t="s">
        <v>66</v>
      </c>
      <c r="E54" s="14">
        <v>51529</v>
      </c>
      <c r="F54" s="15" t="s">
        <v>29</v>
      </c>
      <c r="G54" s="16">
        <f t="shared" si="0"/>
        <v>1.22609906115</v>
      </c>
      <c r="H54" s="15" t="s">
        <v>29</v>
      </c>
      <c r="I54" s="16">
        <f t="shared" si="1"/>
        <v>1.22609906115</v>
      </c>
    </row>
    <row r="55" ht="15.75" spans="1:9">
      <c r="A55" s="71"/>
      <c r="B55" s="71"/>
      <c r="C55" s="10"/>
      <c r="D55" s="13" t="s">
        <v>78</v>
      </c>
      <c r="E55" s="14">
        <v>42275</v>
      </c>
      <c r="F55" s="15" t="s">
        <v>29</v>
      </c>
      <c r="G55" s="16">
        <f t="shared" si="0"/>
        <v>1.00590614625</v>
      </c>
      <c r="H55" s="15" t="s">
        <v>29</v>
      </c>
      <c r="I55" s="16">
        <f t="shared" si="1"/>
        <v>1.00590614625</v>
      </c>
    </row>
    <row r="56" ht="15.75" spans="1:9">
      <c r="A56" s="71"/>
      <c r="B56" s="71"/>
      <c r="C56" s="10"/>
      <c r="D56" s="13" t="s">
        <v>180</v>
      </c>
      <c r="E56" s="14">
        <v>74839</v>
      </c>
      <c r="F56" s="15" t="s">
        <v>29</v>
      </c>
      <c r="G56" s="16">
        <f t="shared" si="0"/>
        <v>1.78074535965</v>
      </c>
      <c r="H56" s="15" t="s">
        <v>29</v>
      </c>
      <c r="I56" s="16">
        <f t="shared" si="1"/>
        <v>1.78074535965</v>
      </c>
    </row>
    <row r="57" ht="15.75" spans="1:9">
      <c r="A57" s="71"/>
      <c r="B57" s="71"/>
      <c r="C57" s="10"/>
      <c r="D57" s="13" t="s">
        <v>181</v>
      </c>
      <c r="E57" s="14">
        <v>207776</v>
      </c>
      <c r="F57" s="15" t="s">
        <v>29</v>
      </c>
      <c r="G57" s="16">
        <f t="shared" si="0"/>
        <v>4.9438948656</v>
      </c>
      <c r="H57" s="15" t="s">
        <v>29</v>
      </c>
      <c r="I57" s="16">
        <f t="shared" si="1"/>
        <v>4.9438948656</v>
      </c>
    </row>
    <row r="58" ht="15.75" spans="1:9">
      <c r="A58" s="71"/>
      <c r="B58" s="71"/>
      <c r="C58" s="10"/>
      <c r="D58" s="13" t="s">
        <v>182</v>
      </c>
      <c r="E58" s="14">
        <v>177533</v>
      </c>
      <c r="F58" s="15" t="s">
        <v>29</v>
      </c>
      <c r="G58" s="16">
        <f t="shared" si="0"/>
        <v>4.22428233855</v>
      </c>
      <c r="H58" s="15" t="s">
        <v>29</v>
      </c>
      <c r="I58" s="16">
        <f t="shared" si="1"/>
        <v>4.22428233855</v>
      </c>
    </row>
    <row r="59" ht="15.75" spans="1:9">
      <c r="A59" s="71"/>
      <c r="B59" s="71"/>
      <c r="C59" s="10"/>
      <c r="D59" s="13" t="s">
        <v>65</v>
      </c>
      <c r="E59" s="14">
        <v>152069</v>
      </c>
      <c r="F59" s="15" t="s">
        <v>29</v>
      </c>
      <c r="G59" s="16">
        <f t="shared" si="0"/>
        <v>3.61838301015</v>
      </c>
      <c r="H59" s="15" t="s">
        <v>29</v>
      </c>
      <c r="I59" s="16">
        <f t="shared" si="1"/>
        <v>3.61838301015</v>
      </c>
    </row>
    <row r="60" ht="15.75" spans="1:9">
      <c r="A60" s="71"/>
      <c r="B60" s="71"/>
      <c r="C60" s="10" t="s">
        <v>68</v>
      </c>
      <c r="D60" s="151" t="s">
        <v>70</v>
      </c>
      <c r="E60" s="44">
        <v>3397</v>
      </c>
      <c r="F60" s="15" t="s">
        <v>29</v>
      </c>
      <c r="G60" s="182">
        <f t="shared" si="0"/>
        <v>0.08082940695</v>
      </c>
      <c r="H60" s="15" t="s">
        <v>29</v>
      </c>
      <c r="I60" s="16">
        <f t="shared" si="1"/>
        <v>0.08082940695</v>
      </c>
    </row>
    <row r="61" ht="15.75" spans="1:9">
      <c r="A61" s="71"/>
      <c r="B61" s="71"/>
      <c r="C61" s="10"/>
      <c r="D61" s="151" t="s">
        <v>73</v>
      </c>
      <c r="E61" s="44">
        <v>1558</v>
      </c>
      <c r="F61" s="15" t="s">
        <v>29</v>
      </c>
      <c r="G61" s="182">
        <f t="shared" si="0"/>
        <v>0.0370715973</v>
      </c>
      <c r="H61" s="15" t="s">
        <v>29</v>
      </c>
      <c r="I61" s="16">
        <f t="shared" si="1"/>
        <v>0.0370715973</v>
      </c>
    </row>
    <row r="62" ht="15.75" spans="1:9">
      <c r="A62" s="71"/>
      <c r="B62" s="71"/>
      <c r="C62" s="10"/>
      <c r="D62" s="151" t="s">
        <v>183</v>
      </c>
      <c r="E62" s="44">
        <v>145</v>
      </c>
      <c r="F62" s="15" t="s">
        <v>29</v>
      </c>
      <c r="G62" s="182">
        <f t="shared" si="0"/>
        <v>0.00345018075</v>
      </c>
      <c r="H62" s="15" t="s">
        <v>29</v>
      </c>
      <c r="I62" s="16">
        <f t="shared" si="1"/>
        <v>0.00345018075</v>
      </c>
    </row>
    <row r="63" ht="15.75" spans="1:9">
      <c r="A63" s="70">
        <v>2</v>
      </c>
      <c r="B63" s="71">
        <v>1991</v>
      </c>
      <c r="C63" s="10" t="s">
        <v>48</v>
      </c>
      <c r="D63" s="13" t="s">
        <v>147</v>
      </c>
      <c r="E63" s="14">
        <v>168301</v>
      </c>
      <c r="F63" s="15" t="s">
        <v>29</v>
      </c>
      <c r="G63" s="16">
        <f t="shared" si="0"/>
        <v>4.00461289935</v>
      </c>
      <c r="H63" s="15" t="s">
        <v>29</v>
      </c>
      <c r="I63" s="16">
        <f t="shared" si="1"/>
        <v>4.00461289935</v>
      </c>
    </row>
    <row r="64" ht="15.75" spans="1:9">
      <c r="A64" s="83"/>
      <c r="B64" s="71"/>
      <c r="C64" s="10"/>
      <c r="D64" s="13" t="s">
        <v>148</v>
      </c>
      <c r="E64" s="14">
        <v>143410</v>
      </c>
      <c r="F64" s="15" t="s">
        <v>29</v>
      </c>
      <c r="G64" s="16">
        <f t="shared" ref="G64:G114" si="2">E64*(65.19*365)/POWER(10,9)</f>
        <v>3.4123477335</v>
      </c>
      <c r="H64" s="15" t="s">
        <v>29</v>
      </c>
      <c r="I64" s="16">
        <f t="shared" si="1"/>
        <v>3.4123477335</v>
      </c>
    </row>
    <row r="65" ht="15.75" spans="1:9">
      <c r="A65" s="83"/>
      <c r="B65" s="71"/>
      <c r="C65" s="10"/>
      <c r="D65" s="13" t="s">
        <v>149</v>
      </c>
      <c r="E65" s="14">
        <v>228410</v>
      </c>
      <c r="F65" s="15" t="s">
        <v>29</v>
      </c>
      <c r="G65" s="16">
        <f t="shared" si="2"/>
        <v>5.4348674835</v>
      </c>
      <c r="H65" s="15" t="s">
        <v>29</v>
      </c>
      <c r="I65" s="16">
        <f t="shared" si="1"/>
        <v>5.4348674835</v>
      </c>
    </row>
    <row r="66" ht="15.75" spans="1:9">
      <c r="A66" s="83"/>
      <c r="B66" s="71"/>
      <c r="C66" s="10"/>
      <c r="D66" s="13" t="s">
        <v>150</v>
      </c>
      <c r="E66" s="14">
        <v>162900</v>
      </c>
      <c r="F66" s="15" t="s">
        <v>29</v>
      </c>
      <c r="G66" s="16">
        <f t="shared" si="2"/>
        <v>3.876099615</v>
      </c>
      <c r="H66" s="15" t="s">
        <v>29</v>
      </c>
      <c r="I66" s="16">
        <f t="shared" si="1"/>
        <v>3.876099615</v>
      </c>
    </row>
    <row r="67" ht="15.75" spans="1:9">
      <c r="A67" s="83"/>
      <c r="B67" s="71"/>
      <c r="C67" s="10"/>
      <c r="D67" s="13" t="s">
        <v>151</v>
      </c>
      <c r="E67" s="14">
        <v>112033</v>
      </c>
      <c r="F67" s="15" t="s">
        <v>29</v>
      </c>
      <c r="G67" s="16">
        <f t="shared" si="2"/>
        <v>2.66575241355</v>
      </c>
      <c r="H67" s="15" t="s">
        <v>29</v>
      </c>
      <c r="I67" s="16">
        <f t="shared" si="1"/>
        <v>2.66575241355</v>
      </c>
    </row>
    <row r="68" ht="15.75" spans="1:9">
      <c r="A68" s="83"/>
      <c r="B68" s="71"/>
      <c r="C68" s="10"/>
      <c r="D68" s="13" t="s">
        <v>152</v>
      </c>
      <c r="E68" s="14">
        <v>8716</v>
      </c>
      <c r="F68" s="15" t="s">
        <v>29</v>
      </c>
      <c r="G68" s="16">
        <f t="shared" si="2"/>
        <v>0.2073915546</v>
      </c>
      <c r="H68" s="15" t="s">
        <v>29</v>
      </c>
      <c r="I68" s="16">
        <f t="shared" si="1"/>
        <v>0.2073915546</v>
      </c>
    </row>
    <row r="69" ht="15.75" spans="1:9">
      <c r="A69" s="83"/>
      <c r="B69" s="71"/>
      <c r="C69" s="10"/>
      <c r="D69" s="13" t="s">
        <v>153</v>
      </c>
      <c r="E69" s="14">
        <v>91570</v>
      </c>
      <c r="F69" s="15" t="s">
        <v>29</v>
      </c>
      <c r="G69" s="16">
        <f t="shared" si="2"/>
        <v>2.1788486295</v>
      </c>
      <c r="H69" s="15" t="s">
        <v>29</v>
      </c>
      <c r="I69" s="16">
        <f t="shared" si="1"/>
        <v>2.1788486295</v>
      </c>
    </row>
    <row r="70" ht="15.75" spans="1:9">
      <c r="A70" s="83"/>
      <c r="B70" s="71"/>
      <c r="C70" s="10"/>
      <c r="D70" s="13" t="s">
        <v>154</v>
      </c>
      <c r="E70" s="14">
        <v>77324</v>
      </c>
      <c r="F70" s="15" t="s">
        <v>29</v>
      </c>
      <c r="G70" s="16">
        <f t="shared" si="2"/>
        <v>1.8398743194</v>
      </c>
      <c r="H70" s="15" t="s">
        <v>29</v>
      </c>
      <c r="I70" s="16">
        <f t="shared" si="1"/>
        <v>1.8398743194</v>
      </c>
    </row>
    <row r="71" ht="15.75" spans="1:9">
      <c r="A71" s="83"/>
      <c r="B71" s="71"/>
      <c r="C71" s="10"/>
      <c r="D71" s="13" t="s">
        <v>155</v>
      </c>
      <c r="E71" s="14">
        <v>243063</v>
      </c>
      <c r="F71" s="15" t="s">
        <v>29</v>
      </c>
      <c r="G71" s="16">
        <f t="shared" si="2"/>
        <v>5.78352609405</v>
      </c>
      <c r="H71" s="15" t="s">
        <v>29</v>
      </c>
      <c r="I71" s="16">
        <f t="shared" si="1"/>
        <v>5.78352609405</v>
      </c>
    </row>
    <row r="72" ht="15.75" spans="1:9">
      <c r="A72" s="83"/>
      <c r="B72" s="71"/>
      <c r="C72" s="10"/>
      <c r="D72" s="13" t="s">
        <v>156</v>
      </c>
      <c r="E72" s="14">
        <v>916</v>
      </c>
      <c r="F72" s="15" t="s">
        <v>29</v>
      </c>
      <c r="G72" s="16">
        <f t="shared" si="2"/>
        <v>0.0217956246</v>
      </c>
      <c r="H72" s="15" t="s">
        <v>29</v>
      </c>
      <c r="I72" s="16">
        <f t="shared" si="1"/>
        <v>0.0217956246</v>
      </c>
    </row>
    <row r="73" ht="15.75" spans="1:9">
      <c r="A73" s="83"/>
      <c r="B73" s="71"/>
      <c r="C73" s="10"/>
      <c r="D73" s="13" t="s">
        <v>157</v>
      </c>
      <c r="E73" s="14">
        <v>83660</v>
      </c>
      <c r="F73" s="15" t="s">
        <v>29</v>
      </c>
      <c r="G73" s="16">
        <f t="shared" si="2"/>
        <v>1.990635321</v>
      </c>
      <c r="H73" s="15" t="s">
        <v>29</v>
      </c>
      <c r="I73" s="16">
        <f t="shared" si="1"/>
        <v>1.990635321</v>
      </c>
    </row>
    <row r="74" ht="15.75" spans="1:9">
      <c r="A74" s="83"/>
      <c r="B74" s="71"/>
      <c r="C74" s="10"/>
      <c r="D74" s="13" t="s">
        <v>57</v>
      </c>
      <c r="E74" s="14">
        <v>65571</v>
      </c>
      <c r="F74" s="15" t="s">
        <v>29</v>
      </c>
      <c r="G74" s="16">
        <f t="shared" si="2"/>
        <v>1.56021932385</v>
      </c>
      <c r="H74" s="15" t="s">
        <v>29</v>
      </c>
      <c r="I74" s="16">
        <f t="shared" si="1"/>
        <v>1.56021932385</v>
      </c>
    </row>
    <row r="75" ht="15.75" spans="1:9">
      <c r="A75" s="83"/>
      <c r="B75" s="71"/>
      <c r="C75" s="10"/>
      <c r="D75" s="13" t="s">
        <v>52</v>
      </c>
      <c r="E75" s="14">
        <v>54082</v>
      </c>
      <c r="F75" s="15" t="s">
        <v>29</v>
      </c>
      <c r="G75" s="16">
        <f t="shared" si="2"/>
        <v>1.2868460367</v>
      </c>
      <c r="H75" s="15" t="s">
        <v>29</v>
      </c>
      <c r="I75" s="16">
        <f t="shared" si="1"/>
        <v>1.2868460367</v>
      </c>
    </row>
    <row r="76" ht="15.75" spans="1:9">
      <c r="A76" s="83"/>
      <c r="B76" s="71"/>
      <c r="C76" s="10"/>
      <c r="D76" s="13" t="s">
        <v>158</v>
      </c>
      <c r="E76" s="14">
        <v>138531</v>
      </c>
      <c r="F76" s="15" t="s">
        <v>29</v>
      </c>
      <c r="G76" s="16">
        <f t="shared" si="2"/>
        <v>3.29625509985</v>
      </c>
      <c r="H76" s="15" t="s">
        <v>29</v>
      </c>
      <c r="I76" s="16">
        <f t="shared" ref="I76:I114" si="3">G76</f>
        <v>3.29625509985</v>
      </c>
    </row>
    <row r="77" ht="15.75" spans="1:9">
      <c r="A77" s="83"/>
      <c r="B77" s="71"/>
      <c r="C77" s="10"/>
      <c r="D77" s="13" t="s">
        <v>77</v>
      </c>
      <c r="E77" s="14">
        <v>23734</v>
      </c>
      <c r="F77" s="15" t="s">
        <v>29</v>
      </c>
      <c r="G77" s="16">
        <f t="shared" si="2"/>
        <v>0.5647351029</v>
      </c>
      <c r="H77" s="15" t="s">
        <v>29</v>
      </c>
      <c r="I77" s="16">
        <f t="shared" si="3"/>
        <v>0.5647351029</v>
      </c>
    </row>
    <row r="78" ht="15.75" spans="1:9">
      <c r="A78" s="83"/>
      <c r="B78" s="71"/>
      <c r="C78" s="10" t="s">
        <v>27</v>
      </c>
      <c r="D78" s="13" t="s">
        <v>28</v>
      </c>
      <c r="E78" s="14">
        <v>161436</v>
      </c>
      <c r="F78" s="15" t="s">
        <v>29</v>
      </c>
      <c r="G78" s="16">
        <f t="shared" si="2"/>
        <v>3.8412646866</v>
      </c>
      <c r="H78" s="15" t="s">
        <v>29</v>
      </c>
      <c r="I78" s="16">
        <f t="shared" si="3"/>
        <v>3.8412646866</v>
      </c>
    </row>
    <row r="79" ht="15.75" spans="1:9">
      <c r="A79" s="83"/>
      <c r="B79" s="71"/>
      <c r="C79" s="10"/>
      <c r="D79" s="13" t="s">
        <v>30</v>
      </c>
      <c r="E79" s="14">
        <v>82134</v>
      </c>
      <c r="F79" s="15" t="s">
        <v>29</v>
      </c>
      <c r="G79" s="16">
        <f t="shared" si="2"/>
        <v>1.9543251429</v>
      </c>
      <c r="H79" s="15" t="s">
        <v>29</v>
      </c>
      <c r="I79" s="16">
        <f t="shared" si="3"/>
        <v>1.9543251429</v>
      </c>
    </row>
    <row r="80" ht="15.75" spans="1:9">
      <c r="A80" s="83"/>
      <c r="B80" s="71"/>
      <c r="C80" s="10"/>
      <c r="D80" s="13" t="s">
        <v>159</v>
      </c>
      <c r="E80" s="14">
        <v>156632</v>
      </c>
      <c r="F80" s="15" t="s">
        <v>29</v>
      </c>
      <c r="G80" s="16">
        <f t="shared" si="2"/>
        <v>3.7269566292</v>
      </c>
      <c r="H80" s="15" t="s">
        <v>29</v>
      </c>
      <c r="I80" s="16">
        <f t="shared" si="3"/>
        <v>3.7269566292</v>
      </c>
    </row>
    <row r="81" ht="15.75" spans="1:9">
      <c r="A81" s="83"/>
      <c r="B81" s="71"/>
      <c r="C81" s="10"/>
      <c r="D81" s="13" t="s">
        <v>31</v>
      </c>
      <c r="E81" s="14">
        <v>80923</v>
      </c>
      <c r="F81" s="15" t="s">
        <v>29</v>
      </c>
      <c r="G81" s="16">
        <f t="shared" si="2"/>
        <v>1.92551018505</v>
      </c>
      <c r="H81" s="15" t="s">
        <v>29</v>
      </c>
      <c r="I81" s="16">
        <f t="shared" si="3"/>
        <v>1.92551018505</v>
      </c>
    </row>
    <row r="82" ht="15.75" spans="1:9">
      <c r="A82" s="83"/>
      <c r="B82" s="71"/>
      <c r="C82" s="10"/>
      <c r="D82" s="13" t="s">
        <v>32</v>
      </c>
      <c r="E82" s="14">
        <v>47875</v>
      </c>
      <c r="F82" s="15" t="s">
        <v>29</v>
      </c>
      <c r="G82" s="16">
        <f t="shared" si="2"/>
        <v>1.13915450625</v>
      </c>
      <c r="H82" s="15" t="s">
        <v>29</v>
      </c>
      <c r="I82" s="16">
        <f t="shared" si="3"/>
        <v>1.13915450625</v>
      </c>
    </row>
    <row r="83" ht="15.75" spans="1:9">
      <c r="A83" s="83"/>
      <c r="B83" s="71"/>
      <c r="C83" s="10"/>
      <c r="D83" s="13" t="s">
        <v>160</v>
      </c>
      <c r="E83" s="14">
        <v>105019</v>
      </c>
      <c r="F83" s="15" t="s">
        <v>29</v>
      </c>
      <c r="G83" s="16">
        <f t="shared" si="2"/>
        <v>2.49885884265</v>
      </c>
      <c r="H83" s="15" t="s">
        <v>29</v>
      </c>
      <c r="I83" s="16">
        <f t="shared" si="3"/>
        <v>2.49885884265</v>
      </c>
    </row>
    <row r="84" ht="15.75" spans="1:9">
      <c r="A84" s="83"/>
      <c r="B84" s="71"/>
      <c r="C84" s="10"/>
      <c r="D84" s="13" t="s">
        <v>161</v>
      </c>
      <c r="E84" s="14">
        <v>78527</v>
      </c>
      <c r="F84" s="15" t="s">
        <v>29</v>
      </c>
      <c r="G84" s="16">
        <f t="shared" si="2"/>
        <v>1.86849892245</v>
      </c>
      <c r="H84" s="15" t="s">
        <v>29</v>
      </c>
      <c r="I84" s="16">
        <f t="shared" si="3"/>
        <v>1.86849892245</v>
      </c>
    </row>
    <row r="85" ht="15.75" spans="1:9">
      <c r="A85" s="83"/>
      <c r="B85" s="71"/>
      <c r="C85" s="10"/>
      <c r="D85" s="13" t="s">
        <v>33</v>
      </c>
      <c r="E85" s="14">
        <v>78614</v>
      </c>
      <c r="F85" s="15" t="s">
        <v>29</v>
      </c>
      <c r="G85" s="16">
        <f t="shared" si="2"/>
        <v>1.8705690309</v>
      </c>
      <c r="H85" s="15" t="s">
        <v>29</v>
      </c>
      <c r="I85" s="16">
        <f t="shared" si="3"/>
        <v>1.8705690309</v>
      </c>
    </row>
    <row r="86" ht="15.75" spans="1:9">
      <c r="A86" s="83"/>
      <c r="B86" s="71"/>
      <c r="C86" s="10"/>
      <c r="D86" s="13" t="s">
        <v>37</v>
      </c>
      <c r="E86" s="14">
        <v>32022</v>
      </c>
      <c r="F86" s="15" t="s">
        <v>29</v>
      </c>
      <c r="G86" s="16">
        <f t="shared" si="2"/>
        <v>0.7619426757</v>
      </c>
      <c r="H86" s="15" t="s">
        <v>29</v>
      </c>
      <c r="I86" s="16">
        <f t="shared" si="3"/>
        <v>0.7619426757</v>
      </c>
    </row>
    <row r="87" ht="15.75" spans="1:9">
      <c r="A87" s="83"/>
      <c r="B87" s="71"/>
      <c r="C87" s="10"/>
      <c r="D87" s="13" t="s">
        <v>39</v>
      </c>
      <c r="E87" s="14">
        <v>35916</v>
      </c>
      <c r="F87" s="15" t="s">
        <v>29</v>
      </c>
      <c r="G87" s="16">
        <f t="shared" si="2"/>
        <v>0.8545978746</v>
      </c>
      <c r="H87" s="15" t="s">
        <v>29</v>
      </c>
      <c r="I87" s="16">
        <f t="shared" si="3"/>
        <v>0.8545978746</v>
      </c>
    </row>
    <row r="88" ht="15.75" spans="1:9">
      <c r="A88" s="83"/>
      <c r="B88" s="71">
        <v>1991</v>
      </c>
      <c r="C88" s="9" t="s">
        <v>162</v>
      </c>
      <c r="D88" s="13" t="s">
        <v>163</v>
      </c>
      <c r="E88" s="14">
        <v>65358</v>
      </c>
      <c r="F88" s="15" t="s">
        <v>29</v>
      </c>
      <c r="G88" s="16">
        <f t="shared" si="2"/>
        <v>1.5551511273</v>
      </c>
      <c r="H88" s="15" t="s">
        <v>29</v>
      </c>
      <c r="I88" s="16">
        <f t="shared" si="3"/>
        <v>1.5551511273</v>
      </c>
    </row>
    <row r="89" ht="15.75" spans="1:9">
      <c r="A89" s="83"/>
      <c r="B89" s="71"/>
      <c r="C89" s="9"/>
      <c r="D89" s="13" t="s">
        <v>164</v>
      </c>
      <c r="E89" s="14">
        <v>155737</v>
      </c>
      <c r="F89" s="15" t="s">
        <v>29</v>
      </c>
      <c r="G89" s="16">
        <f t="shared" si="2"/>
        <v>3.70566068595</v>
      </c>
      <c r="H89" s="15" t="s">
        <v>29</v>
      </c>
      <c r="I89" s="16">
        <f t="shared" si="3"/>
        <v>3.70566068595</v>
      </c>
    </row>
    <row r="90" ht="15.75" spans="1:9">
      <c r="A90" s="83"/>
      <c r="B90" s="71"/>
      <c r="C90" s="9"/>
      <c r="D90" s="13" t="s">
        <v>165</v>
      </c>
      <c r="E90" s="14">
        <v>80945</v>
      </c>
      <c r="F90" s="15" t="s">
        <v>29</v>
      </c>
      <c r="G90" s="16">
        <f t="shared" si="2"/>
        <v>1.92603366075</v>
      </c>
      <c r="H90" s="15" t="s">
        <v>29</v>
      </c>
      <c r="I90" s="16">
        <f t="shared" si="3"/>
        <v>1.92603366075</v>
      </c>
    </row>
    <row r="91" ht="15.75" spans="1:9">
      <c r="A91" s="83"/>
      <c r="B91" s="71"/>
      <c r="C91" s="9"/>
      <c r="D91" s="13" t="s">
        <v>166</v>
      </c>
      <c r="E91" s="14">
        <v>118664</v>
      </c>
      <c r="F91" s="15" t="s">
        <v>29</v>
      </c>
      <c r="G91" s="16">
        <f t="shared" si="2"/>
        <v>2.8235327484</v>
      </c>
      <c r="H91" s="15" t="s">
        <v>29</v>
      </c>
      <c r="I91" s="16">
        <f t="shared" si="3"/>
        <v>2.8235327484</v>
      </c>
    </row>
    <row r="92" ht="15.75" spans="1:9">
      <c r="A92" s="83"/>
      <c r="B92" s="71"/>
      <c r="C92" s="9"/>
      <c r="D92" s="13" t="s">
        <v>162</v>
      </c>
      <c r="E92" s="14">
        <v>93090</v>
      </c>
      <c r="F92" s="15" t="s">
        <v>29</v>
      </c>
      <c r="G92" s="16">
        <f t="shared" si="2"/>
        <v>2.2150160415</v>
      </c>
      <c r="H92" s="15" t="s">
        <v>29</v>
      </c>
      <c r="I92" s="16">
        <f t="shared" si="3"/>
        <v>2.2150160415</v>
      </c>
    </row>
    <row r="93" ht="15.75" spans="1:9">
      <c r="A93" s="83"/>
      <c r="B93" s="71"/>
      <c r="C93" s="9"/>
      <c r="D93" s="13" t="s">
        <v>167</v>
      </c>
      <c r="E93" s="14">
        <v>103142</v>
      </c>
      <c r="F93" s="15" t="s">
        <v>29</v>
      </c>
      <c r="G93" s="16">
        <f t="shared" si="2"/>
        <v>2.4541968477</v>
      </c>
      <c r="H93" s="15" t="s">
        <v>29</v>
      </c>
      <c r="I93" s="16">
        <f t="shared" si="3"/>
        <v>2.4541968477</v>
      </c>
    </row>
    <row r="94" ht="15.75" spans="1:9">
      <c r="A94" s="83"/>
      <c r="B94" s="71"/>
      <c r="C94" s="9"/>
      <c r="D94" s="13" t="s">
        <v>168</v>
      </c>
      <c r="E94" s="14">
        <v>50</v>
      </c>
      <c r="F94" s="15" t="s">
        <v>29</v>
      </c>
      <c r="G94" s="16">
        <f t="shared" si="2"/>
        <v>0.0011897175</v>
      </c>
      <c r="H94" s="15" t="s">
        <v>29</v>
      </c>
      <c r="I94" s="16">
        <f t="shared" si="3"/>
        <v>0.0011897175</v>
      </c>
    </row>
    <row r="95" ht="15.75" spans="1:9">
      <c r="A95" s="83"/>
      <c r="B95" s="71"/>
      <c r="C95" s="9"/>
      <c r="D95" s="13" t="s">
        <v>169</v>
      </c>
      <c r="E95" s="14">
        <v>102107</v>
      </c>
      <c r="F95" s="15" t="s">
        <v>29</v>
      </c>
      <c r="G95" s="16">
        <f t="shared" si="2"/>
        <v>2.42956969545</v>
      </c>
      <c r="H95" s="15" t="s">
        <v>29</v>
      </c>
      <c r="I95" s="16">
        <f t="shared" si="3"/>
        <v>2.42956969545</v>
      </c>
    </row>
    <row r="96" ht="15.75" spans="1:9">
      <c r="A96" s="83"/>
      <c r="B96" s="71"/>
      <c r="C96" s="9"/>
      <c r="D96" s="13" t="s">
        <v>170</v>
      </c>
      <c r="E96" s="14">
        <v>50663</v>
      </c>
      <c r="F96" s="15" t="s">
        <v>29</v>
      </c>
      <c r="G96" s="16">
        <f t="shared" si="2"/>
        <v>1.20549315405</v>
      </c>
      <c r="H96" s="15" t="s">
        <v>29</v>
      </c>
      <c r="I96" s="16">
        <f t="shared" si="3"/>
        <v>1.20549315405</v>
      </c>
    </row>
    <row r="97" ht="15.75" spans="1:9">
      <c r="A97" s="83"/>
      <c r="B97" s="71"/>
      <c r="C97" s="9"/>
      <c r="D97" s="13" t="s">
        <v>171</v>
      </c>
      <c r="E97" s="14">
        <v>67899</v>
      </c>
      <c r="F97" s="15" t="s">
        <v>29</v>
      </c>
      <c r="G97" s="16">
        <f t="shared" si="2"/>
        <v>1.61561257065</v>
      </c>
      <c r="H97" s="15" t="s">
        <v>29</v>
      </c>
      <c r="I97" s="16">
        <f t="shared" si="3"/>
        <v>1.61561257065</v>
      </c>
    </row>
    <row r="98" ht="15.75" spans="1:9">
      <c r="A98" s="83"/>
      <c r="B98" s="71"/>
      <c r="C98" s="9"/>
      <c r="D98" s="13" t="s">
        <v>172</v>
      </c>
      <c r="E98" s="14">
        <v>51097</v>
      </c>
      <c r="F98" s="15" t="s">
        <v>29</v>
      </c>
      <c r="G98" s="16">
        <f t="shared" si="2"/>
        <v>1.21581990195</v>
      </c>
      <c r="H98" s="15" t="s">
        <v>29</v>
      </c>
      <c r="I98" s="16">
        <f t="shared" si="3"/>
        <v>1.21581990195</v>
      </c>
    </row>
    <row r="99" ht="15.75" customHeight="1" spans="1:9">
      <c r="A99" s="83"/>
      <c r="B99" s="71"/>
      <c r="C99" s="9"/>
      <c r="D99" s="13" t="s">
        <v>173</v>
      </c>
      <c r="E99" s="14">
        <v>123906</v>
      </c>
      <c r="F99" s="15" t="s">
        <v>29</v>
      </c>
      <c r="G99" s="16">
        <f t="shared" si="2"/>
        <v>2.9482627311</v>
      </c>
      <c r="H99" s="15" t="s">
        <v>29</v>
      </c>
      <c r="I99" s="16">
        <f t="shared" si="3"/>
        <v>2.9482627311</v>
      </c>
    </row>
    <row r="100" ht="18.75" customHeight="1" spans="1:9">
      <c r="A100" s="83"/>
      <c r="B100" s="71"/>
      <c r="C100" s="10" t="s">
        <v>65</v>
      </c>
      <c r="D100" s="13" t="s">
        <v>174</v>
      </c>
      <c r="E100" s="14">
        <v>128429</v>
      </c>
      <c r="F100" s="15" t="s">
        <v>29</v>
      </c>
      <c r="G100" s="16">
        <f t="shared" si="2"/>
        <v>3.05588457615</v>
      </c>
      <c r="H100" s="15" t="s">
        <v>29</v>
      </c>
      <c r="I100" s="16">
        <f t="shared" si="3"/>
        <v>3.05588457615</v>
      </c>
    </row>
    <row r="101" ht="15.75" spans="1:9">
      <c r="A101" s="83"/>
      <c r="B101" s="71"/>
      <c r="C101" s="10"/>
      <c r="D101" s="13" t="s">
        <v>175</v>
      </c>
      <c r="E101" s="14">
        <v>130487</v>
      </c>
      <c r="F101" s="15" t="s">
        <v>29</v>
      </c>
      <c r="G101" s="16">
        <f t="shared" si="2"/>
        <v>3.10485334845</v>
      </c>
      <c r="H101" s="15" t="s">
        <v>29</v>
      </c>
      <c r="I101" s="16">
        <f t="shared" si="3"/>
        <v>3.10485334845</v>
      </c>
    </row>
    <row r="102" ht="15.75" spans="1:9">
      <c r="A102" s="83"/>
      <c r="B102" s="71"/>
      <c r="C102" s="10"/>
      <c r="D102" s="13" t="s">
        <v>176</v>
      </c>
      <c r="E102" s="14">
        <v>136046</v>
      </c>
      <c r="F102" s="15" t="s">
        <v>29</v>
      </c>
      <c r="G102" s="16">
        <f t="shared" si="2"/>
        <v>3.2371261401</v>
      </c>
      <c r="H102" s="15" t="s">
        <v>29</v>
      </c>
      <c r="I102" s="16">
        <f t="shared" si="3"/>
        <v>3.2371261401</v>
      </c>
    </row>
    <row r="103" ht="15.75" spans="1:9">
      <c r="A103" s="83"/>
      <c r="B103" s="71"/>
      <c r="C103" s="10"/>
      <c r="D103" s="13" t="s">
        <v>177</v>
      </c>
      <c r="E103" s="14">
        <v>109654</v>
      </c>
      <c r="F103" s="15" t="s">
        <v>29</v>
      </c>
      <c r="G103" s="16">
        <f t="shared" si="2"/>
        <v>2.6091456549</v>
      </c>
      <c r="H103" s="15" t="s">
        <v>29</v>
      </c>
      <c r="I103" s="16">
        <f t="shared" si="3"/>
        <v>2.6091456549</v>
      </c>
    </row>
    <row r="104" ht="15.75" spans="1:9">
      <c r="A104" s="83"/>
      <c r="B104" s="71"/>
      <c r="C104" s="10"/>
      <c r="D104" s="13" t="s">
        <v>178</v>
      </c>
      <c r="E104" s="14">
        <v>118254</v>
      </c>
      <c r="F104" s="15" t="s">
        <v>29</v>
      </c>
      <c r="G104" s="16">
        <f t="shared" si="2"/>
        <v>2.8137770649</v>
      </c>
      <c r="H104" s="15" t="s">
        <v>29</v>
      </c>
      <c r="I104" s="16">
        <f t="shared" si="3"/>
        <v>2.8137770649</v>
      </c>
    </row>
    <row r="105" ht="15.75" spans="1:9">
      <c r="A105" s="83"/>
      <c r="B105" s="71"/>
      <c r="C105" s="10"/>
      <c r="D105" s="13" t="s">
        <v>179</v>
      </c>
      <c r="E105" s="14">
        <v>159373</v>
      </c>
      <c r="F105" s="15" t="s">
        <v>29</v>
      </c>
      <c r="G105" s="16">
        <f t="shared" si="2"/>
        <v>3.79217694255</v>
      </c>
      <c r="H105" s="15" t="s">
        <v>29</v>
      </c>
      <c r="I105" s="16">
        <f t="shared" si="3"/>
        <v>3.79217694255</v>
      </c>
    </row>
    <row r="106" ht="15.75" spans="1:9">
      <c r="A106" s="83"/>
      <c r="B106" s="71"/>
      <c r="C106" s="10"/>
      <c r="D106" s="13" t="s">
        <v>66</v>
      </c>
      <c r="E106" s="14">
        <v>85531</v>
      </c>
      <c r="F106" s="15" t="s">
        <v>29</v>
      </c>
      <c r="G106" s="16">
        <f t="shared" si="2"/>
        <v>2.03515454985</v>
      </c>
      <c r="H106" s="15" t="s">
        <v>29</v>
      </c>
      <c r="I106" s="16">
        <f t="shared" si="3"/>
        <v>2.03515454985</v>
      </c>
    </row>
    <row r="107" ht="15.75" spans="1:9">
      <c r="A107" s="83"/>
      <c r="B107" s="71"/>
      <c r="C107" s="10"/>
      <c r="D107" s="13" t="s">
        <v>78</v>
      </c>
      <c r="E107" s="14">
        <v>70170</v>
      </c>
      <c r="F107" s="15" t="s">
        <v>29</v>
      </c>
      <c r="G107" s="16">
        <f t="shared" si="2"/>
        <v>1.6696495395</v>
      </c>
      <c r="H107" s="15" t="s">
        <v>29</v>
      </c>
      <c r="I107" s="16">
        <f t="shared" si="3"/>
        <v>1.6696495395</v>
      </c>
    </row>
    <row r="108" ht="15.75" spans="1:9">
      <c r="A108" s="83"/>
      <c r="B108" s="71"/>
      <c r="C108" s="10"/>
      <c r="D108" s="13" t="s">
        <v>180</v>
      </c>
      <c r="E108" s="14">
        <v>124221</v>
      </c>
      <c r="F108" s="15" t="s">
        <v>29</v>
      </c>
      <c r="G108" s="16">
        <f t="shared" si="2"/>
        <v>2.95575795135</v>
      </c>
      <c r="H108" s="15" t="s">
        <v>29</v>
      </c>
      <c r="I108" s="16">
        <f t="shared" si="3"/>
        <v>2.95575795135</v>
      </c>
    </row>
    <row r="109" ht="15.75" spans="1:9">
      <c r="A109" s="83"/>
      <c r="B109" s="71"/>
      <c r="C109" s="10"/>
      <c r="D109" s="13" t="s">
        <v>181</v>
      </c>
      <c r="E109" s="14">
        <v>185911</v>
      </c>
      <c r="F109" s="15" t="s">
        <v>29</v>
      </c>
      <c r="G109" s="16">
        <f t="shared" si="2"/>
        <v>4.42363140285</v>
      </c>
      <c r="H109" s="15" t="s">
        <v>29</v>
      </c>
      <c r="I109" s="16">
        <f t="shared" si="3"/>
        <v>4.42363140285</v>
      </c>
    </row>
    <row r="110" ht="19.5" customHeight="1" spans="1:9">
      <c r="A110" s="83"/>
      <c r="B110" s="71"/>
      <c r="C110" s="10"/>
      <c r="D110" s="13" t="s">
        <v>182</v>
      </c>
      <c r="E110" s="14">
        <v>158851</v>
      </c>
      <c r="F110" s="15" t="s">
        <v>29</v>
      </c>
      <c r="G110" s="16">
        <f t="shared" si="2"/>
        <v>3.77975629185</v>
      </c>
      <c r="H110" s="15" t="s">
        <v>29</v>
      </c>
      <c r="I110" s="16">
        <f t="shared" si="3"/>
        <v>3.77975629185</v>
      </c>
    </row>
    <row r="111" ht="19.5" customHeight="1" spans="1:9">
      <c r="A111" s="83"/>
      <c r="B111" s="71"/>
      <c r="C111" s="10"/>
      <c r="D111" s="13" t="s">
        <v>65</v>
      </c>
      <c r="E111" s="14">
        <v>136066</v>
      </c>
      <c r="F111" s="15" t="s">
        <v>29</v>
      </c>
      <c r="G111" s="16">
        <f t="shared" si="2"/>
        <v>3.2376020271</v>
      </c>
      <c r="H111" s="15" t="s">
        <v>29</v>
      </c>
      <c r="I111" s="16">
        <f t="shared" si="3"/>
        <v>3.2376020271</v>
      </c>
    </row>
    <row r="112" ht="19.5" customHeight="1" spans="1:9">
      <c r="A112" s="83"/>
      <c r="B112" s="71"/>
      <c r="C112" s="10" t="s">
        <v>68</v>
      </c>
      <c r="D112" s="151" t="s">
        <v>70</v>
      </c>
      <c r="E112" s="44">
        <v>5831</v>
      </c>
      <c r="F112" s="15" t="s">
        <v>29</v>
      </c>
      <c r="G112" s="16">
        <f t="shared" si="2"/>
        <v>0.13874485485</v>
      </c>
      <c r="H112" s="15" t="s">
        <v>29</v>
      </c>
      <c r="I112" s="16">
        <f t="shared" si="3"/>
        <v>0.13874485485</v>
      </c>
    </row>
    <row r="113" ht="19.5" customHeight="1" spans="1:9">
      <c r="A113" s="83"/>
      <c r="B113" s="71"/>
      <c r="C113" s="10"/>
      <c r="D113" s="151" t="s">
        <v>73</v>
      </c>
      <c r="E113" s="44">
        <v>2674</v>
      </c>
      <c r="F113" s="15" t="s">
        <v>29</v>
      </c>
      <c r="G113" s="16">
        <f t="shared" si="2"/>
        <v>0.0636260919</v>
      </c>
      <c r="H113" s="15" t="s">
        <v>29</v>
      </c>
      <c r="I113" s="16">
        <f t="shared" si="3"/>
        <v>0.0636260919</v>
      </c>
    </row>
    <row r="114" ht="19.5" customHeight="1" spans="1:9">
      <c r="A114" s="84"/>
      <c r="B114" s="71"/>
      <c r="C114" s="10"/>
      <c r="D114" s="151" t="s">
        <v>183</v>
      </c>
      <c r="E114" s="44">
        <v>248</v>
      </c>
      <c r="F114" s="15" t="s">
        <v>29</v>
      </c>
      <c r="G114" s="16">
        <f t="shared" si="2"/>
        <v>0.0059009988</v>
      </c>
      <c r="H114" s="15" t="s">
        <v>29</v>
      </c>
      <c r="I114" s="16">
        <f t="shared" si="3"/>
        <v>0.0059009988</v>
      </c>
    </row>
    <row r="115" ht="18" customHeight="1" spans="1:11">
      <c r="A115" s="70">
        <v>3</v>
      </c>
      <c r="B115" s="70">
        <v>2001</v>
      </c>
      <c r="C115" s="11" t="s">
        <v>48</v>
      </c>
      <c r="D115" s="13" t="s">
        <v>150</v>
      </c>
      <c r="E115" s="14">
        <v>183840</v>
      </c>
      <c r="F115" s="42">
        <v>185453</v>
      </c>
      <c r="G115" s="16">
        <f t="shared" ref="G115:G151" si="4">E115*(65.19*365)/POWER(10,9)</f>
        <v>4.374353304</v>
      </c>
      <c r="H115" s="43">
        <v>3.98851801616298</v>
      </c>
      <c r="I115" s="16">
        <f t="shared" ref="I115:I178" si="5">G115+H115</f>
        <v>8.36287132016298</v>
      </c>
      <c r="K115" s="53"/>
    </row>
    <row r="116" ht="15.75" spans="1:11">
      <c r="A116" s="83"/>
      <c r="B116" s="83"/>
      <c r="C116" s="22"/>
      <c r="D116" s="13" t="s">
        <v>151</v>
      </c>
      <c r="E116" s="14">
        <v>126435</v>
      </c>
      <c r="F116" s="42">
        <v>72933</v>
      </c>
      <c r="G116" s="16">
        <f t="shared" si="4"/>
        <v>3.00843864225</v>
      </c>
      <c r="H116" s="43">
        <v>1.45122801880982</v>
      </c>
      <c r="I116" s="16">
        <f t="shared" si="5"/>
        <v>4.45966666105982</v>
      </c>
      <c r="K116" s="53"/>
    </row>
    <row r="117" ht="15.75" spans="1:11">
      <c r="A117" s="83"/>
      <c r="B117" s="83"/>
      <c r="C117" s="22"/>
      <c r="D117" s="13" t="s">
        <v>149</v>
      </c>
      <c r="E117" s="14">
        <v>257771</v>
      </c>
      <c r="F117" s="42">
        <v>141713</v>
      </c>
      <c r="G117" s="16">
        <f t="shared" si="4"/>
        <v>6.13349339385</v>
      </c>
      <c r="H117" s="43">
        <v>2.93460847579879</v>
      </c>
      <c r="I117" s="16">
        <f t="shared" si="5"/>
        <v>9.06810186964879</v>
      </c>
      <c r="K117" s="53"/>
    </row>
    <row r="118" ht="15.75" spans="1:11">
      <c r="A118" s="83"/>
      <c r="B118" s="83"/>
      <c r="C118" s="22"/>
      <c r="D118" s="13" t="s">
        <v>155</v>
      </c>
      <c r="E118" s="14">
        <v>273572</v>
      </c>
      <c r="F118" s="42">
        <v>205811</v>
      </c>
      <c r="G118" s="16">
        <f t="shared" si="4"/>
        <v>6.5094679182</v>
      </c>
      <c r="H118" s="43">
        <v>4.74378459556659</v>
      </c>
      <c r="I118" s="16">
        <f t="shared" si="5"/>
        <v>11.2532525137666</v>
      </c>
      <c r="K118" s="53"/>
    </row>
    <row r="119" ht="15.75" spans="1:11">
      <c r="A119" s="83"/>
      <c r="B119" s="83"/>
      <c r="C119" s="22"/>
      <c r="D119" s="13" t="s">
        <v>147</v>
      </c>
      <c r="E119" s="14">
        <v>189936</v>
      </c>
      <c r="F119" s="42">
        <v>174228</v>
      </c>
      <c r="G119" s="16">
        <f t="shared" si="4"/>
        <v>4.5194036616</v>
      </c>
      <c r="H119" s="43">
        <v>4.80164573341559</v>
      </c>
      <c r="I119" s="16">
        <f t="shared" si="5"/>
        <v>9.32104939501559</v>
      </c>
      <c r="K119" s="53"/>
    </row>
    <row r="120" ht="15.75" spans="1:11">
      <c r="A120" s="83"/>
      <c r="B120" s="83"/>
      <c r="C120" s="22"/>
      <c r="D120" s="13" t="s">
        <v>153</v>
      </c>
      <c r="E120" s="14">
        <v>103063</v>
      </c>
      <c r="F120" s="42">
        <v>235538</v>
      </c>
      <c r="G120" s="16">
        <f t="shared" si="4"/>
        <v>2.45231709405</v>
      </c>
      <c r="H120" s="43">
        <v>7.23521977816342</v>
      </c>
      <c r="I120" s="16">
        <f t="shared" si="5"/>
        <v>9.68753687221342</v>
      </c>
      <c r="K120" s="53"/>
    </row>
    <row r="121" ht="13.95" customHeight="1" spans="1:11">
      <c r="A121" s="83"/>
      <c r="B121" s="83"/>
      <c r="C121" s="22"/>
      <c r="D121" s="13" t="s">
        <v>154</v>
      </c>
      <c r="E121" s="14">
        <v>87030</v>
      </c>
      <c r="F121" s="42">
        <v>191790</v>
      </c>
      <c r="G121" s="16">
        <f t="shared" si="4"/>
        <v>2.0708222805</v>
      </c>
      <c r="H121" s="43">
        <v>2.5396918030167</v>
      </c>
      <c r="I121" s="16">
        <f t="shared" si="5"/>
        <v>4.6105140835167</v>
      </c>
      <c r="K121" s="53"/>
    </row>
    <row r="122" ht="13.95" customHeight="1" spans="1:11">
      <c r="A122" s="83"/>
      <c r="B122" s="83"/>
      <c r="C122" s="22"/>
      <c r="D122" s="13" t="s">
        <v>152</v>
      </c>
      <c r="E122" s="14">
        <v>9836</v>
      </c>
      <c r="F122" s="42">
        <v>8876</v>
      </c>
      <c r="G122" s="16">
        <f t="shared" si="4"/>
        <v>0.2340412266</v>
      </c>
      <c r="H122" s="43">
        <v>0.240562148474665</v>
      </c>
      <c r="I122" s="16">
        <f t="shared" si="5"/>
        <v>0.474603375074665</v>
      </c>
      <c r="K122" s="53"/>
    </row>
    <row r="123" ht="13.95" customHeight="1" spans="1:11">
      <c r="A123" s="83"/>
      <c r="B123" s="83"/>
      <c r="C123" s="23"/>
      <c r="D123" s="13" t="s">
        <v>148</v>
      </c>
      <c r="E123" s="14">
        <v>161845</v>
      </c>
      <c r="F123" s="42">
        <v>258316</v>
      </c>
      <c r="G123" s="16">
        <f t="shared" si="4"/>
        <v>3.85099657575</v>
      </c>
      <c r="H123" s="43">
        <v>4.63081690789125</v>
      </c>
      <c r="I123" s="16">
        <f t="shared" si="5"/>
        <v>8.48181348364125</v>
      </c>
      <c r="K123" s="53"/>
    </row>
    <row r="124" ht="13.95" customHeight="1" spans="1:11">
      <c r="A124" s="83"/>
      <c r="B124" s="83"/>
      <c r="C124" s="11" t="s">
        <v>37</v>
      </c>
      <c r="D124" s="13" t="s">
        <v>37</v>
      </c>
      <c r="E124" s="14">
        <v>38897</v>
      </c>
      <c r="F124" s="42">
        <v>62951</v>
      </c>
      <c r="G124" s="16">
        <f t="shared" si="4"/>
        <v>0.92552883195</v>
      </c>
      <c r="H124" s="43">
        <v>1.10599570461754</v>
      </c>
      <c r="I124" s="16">
        <f t="shared" si="5"/>
        <v>2.03152453656754</v>
      </c>
      <c r="K124" s="53"/>
    </row>
    <row r="125" ht="15.75" spans="1:11">
      <c r="A125" s="83"/>
      <c r="B125" s="83"/>
      <c r="C125" s="23"/>
      <c r="D125" s="13" t="s">
        <v>39</v>
      </c>
      <c r="E125" s="14">
        <v>43628</v>
      </c>
      <c r="F125" s="42">
        <v>68329</v>
      </c>
      <c r="G125" s="16">
        <f t="shared" si="4"/>
        <v>1.0380999018</v>
      </c>
      <c r="H125" s="43">
        <v>2.33641702418479</v>
      </c>
      <c r="I125" s="16">
        <f t="shared" si="5"/>
        <v>3.37451692598479</v>
      </c>
      <c r="K125" s="53"/>
    </row>
    <row r="126" ht="15.75" customHeight="1" spans="1:11">
      <c r="A126" s="83"/>
      <c r="B126" s="83"/>
      <c r="C126" s="11" t="s">
        <v>65</v>
      </c>
      <c r="D126" s="13" t="s">
        <v>78</v>
      </c>
      <c r="E126" s="14">
        <v>83171</v>
      </c>
      <c r="F126" s="42">
        <v>66619</v>
      </c>
      <c r="G126" s="16">
        <f t="shared" si="4"/>
        <v>1.97899988385</v>
      </c>
      <c r="H126" s="43">
        <v>2.06868249185124</v>
      </c>
      <c r="I126" s="16">
        <f t="shared" si="5"/>
        <v>4.04768237570124</v>
      </c>
      <c r="K126" s="53"/>
    </row>
    <row r="127" ht="15.75" spans="1:11">
      <c r="A127" s="83"/>
      <c r="B127" s="83"/>
      <c r="C127" s="22"/>
      <c r="D127" s="13" t="s">
        <v>174</v>
      </c>
      <c r="E127" s="14">
        <v>134313</v>
      </c>
      <c r="F127" s="42">
        <v>111944</v>
      </c>
      <c r="G127" s="16">
        <f t="shared" si="4"/>
        <v>3.19589053155</v>
      </c>
      <c r="H127" s="43">
        <v>3.23923256144527</v>
      </c>
      <c r="I127" s="16">
        <f t="shared" si="5"/>
        <v>6.43512309299527</v>
      </c>
      <c r="K127" s="53"/>
    </row>
    <row r="128" ht="15.75" spans="1:11">
      <c r="A128" s="83"/>
      <c r="B128" s="83"/>
      <c r="C128" s="22"/>
      <c r="D128" s="13" t="s">
        <v>176</v>
      </c>
      <c r="E128" s="14">
        <v>142279</v>
      </c>
      <c r="F128" s="42">
        <v>182569</v>
      </c>
      <c r="G128" s="16">
        <f t="shared" si="4"/>
        <v>3.38543632365</v>
      </c>
      <c r="H128" s="43">
        <v>4.24320500590449</v>
      </c>
      <c r="I128" s="16">
        <f t="shared" si="5"/>
        <v>7.62864132955449</v>
      </c>
      <c r="K128" s="53"/>
    </row>
    <row r="129" ht="15.75" spans="1:11">
      <c r="A129" s="83"/>
      <c r="B129" s="83"/>
      <c r="C129" s="22"/>
      <c r="D129" s="13" t="s">
        <v>181</v>
      </c>
      <c r="E129" s="14">
        <v>208470</v>
      </c>
      <c r="F129" s="42">
        <v>87431</v>
      </c>
      <c r="G129" s="16">
        <f t="shared" si="4"/>
        <v>4.9604081445</v>
      </c>
      <c r="H129" s="43">
        <v>2.91132519207196</v>
      </c>
      <c r="I129" s="16">
        <f t="shared" si="5"/>
        <v>7.87173333657196</v>
      </c>
      <c r="K129" s="53"/>
    </row>
    <row r="130" ht="15.75" spans="1:11">
      <c r="A130" s="83"/>
      <c r="B130" s="83"/>
      <c r="C130" s="22"/>
      <c r="D130" s="13" t="s">
        <v>180</v>
      </c>
      <c r="E130" s="14">
        <v>147238</v>
      </c>
      <c r="F130" s="42">
        <v>128778</v>
      </c>
      <c r="G130" s="16">
        <f t="shared" si="4"/>
        <v>3.5034325053</v>
      </c>
      <c r="H130" s="43">
        <v>1.64931484071165</v>
      </c>
      <c r="I130" s="16">
        <f t="shared" si="5"/>
        <v>5.15274734601165</v>
      </c>
      <c r="K130" s="53"/>
    </row>
    <row r="131" ht="15.75" spans="1:11">
      <c r="A131" s="83"/>
      <c r="B131" s="83"/>
      <c r="C131" s="22"/>
      <c r="D131" s="13" t="s">
        <v>179</v>
      </c>
      <c r="E131" s="14">
        <v>188903</v>
      </c>
      <c r="F131" s="42">
        <v>296456</v>
      </c>
      <c r="G131" s="16">
        <f t="shared" si="4"/>
        <v>4.49482409805</v>
      </c>
      <c r="H131" s="43">
        <v>6.2949225211438</v>
      </c>
      <c r="I131" s="16">
        <f t="shared" si="5"/>
        <v>10.7897466191938</v>
      </c>
      <c r="K131" s="53"/>
    </row>
    <row r="132" ht="15.75" spans="1:11">
      <c r="A132" s="83"/>
      <c r="B132" s="83"/>
      <c r="C132" s="22"/>
      <c r="D132" s="13" t="s">
        <v>65</v>
      </c>
      <c r="E132" s="14">
        <v>152577</v>
      </c>
      <c r="F132" s="42">
        <v>363787</v>
      </c>
      <c r="G132" s="16">
        <f t="shared" si="4"/>
        <v>3.63047053995</v>
      </c>
      <c r="H132" s="43">
        <v>2.99596472914335</v>
      </c>
      <c r="I132" s="16">
        <f t="shared" si="5"/>
        <v>6.62643526909335</v>
      </c>
      <c r="K132" s="53"/>
    </row>
    <row r="133" ht="15.75" spans="1:11">
      <c r="A133" s="83"/>
      <c r="B133" s="83"/>
      <c r="C133" s="22"/>
      <c r="D133" s="13" t="s">
        <v>178</v>
      </c>
      <c r="E133" s="14">
        <v>140165</v>
      </c>
      <c r="F133" s="42">
        <v>160296</v>
      </c>
      <c r="G133" s="16">
        <f t="shared" si="4"/>
        <v>3.33513506775</v>
      </c>
      <c r="H133" s="43">
        <v>4.40982598839109</v>
      </c>
      <c r="I133" s="16">
        <f t="shared" si="5"/>
        <v>7.74496105614109</v>
      </c>
      <c r="K133" s="53"/>
    </row>
    <row r="134" ht="15.75" spans="1:11">
      <c r="A134" s="83"/>
      <c r="B134" s="83"/>
      <c r="C134" s="22"/>
      <c r="D134" s="13" t="s">
        <v>66</v>
      </c>
      <c r="E134" s="14">
        <v>101378</v>
      </c>
      <c r="F134" s="42">
        <v>78297</v>
      </c>
      <c r="G134" s="16">
        <f t="shared" si="4"/>
        <v>2.4122236143</v>
      </c>
      <c r="H134" s="43">
        <v>2.32761352577911</v>
      </c>
      <c r="I134" s="16">
        <f t="shared" si="5"/>
        <v>4.73983714007911</v>
      </c>
      <c r="K134" s="53"/>
    </row>
    <row r="135" ht="15.75" spans="1:11">
      <c r="A135" s="83"/>
      <c r="B135" s="83"/>
      <c r="C135" s="22"/>
      <c r="D135" s="13" t="s">
        <v>177</v>
      </c>
      <c r="E135" s="14">
        <v>114678</v>
      </c>
      <c r="F135" s="42">
        <v>104338</v>
      </c>
      <c r="G135" s="16">
        <f t="shared" si="4"/>
        <v>2.7286884693</v>
      </c>
      <c r="H135" s="43">
        <v>3.17974997274276</v>
      </c>
      <c r="I135" s="16">
        <f t="shared" si="5"/>
        <v>5.90843844204276</v>
      </c>
      <c r="K135" s="53"/>
    </row>
    <row r="136" ht="15.75" spans="1:11">
      <c r="A136" s="83"/>
      <c r="B136" s="83"/>
      <c r="C136" s="22"/>
      <c r="D136" s="13" t="s">
        <v>182</v>
      </c>
      <c r="E136" s="14">
        <v>178126</v>
      </c>
      <c r="F136" s="42">
        <v>203494</v>
      </c>
      <c r="G136" s="16">
        <f t="shared" si="4"/>
        <v>4.2383923881</v>
      </c>
      <c r="H136" s="43">
        <v>3.47526278307332</v>
      </c>
      <c r="I136" s="16">
        <f t="shared" si="5"/>
        <v>7.71365517117332</v>
      </c>
      <c r="K136" s="53"/>
    </row>
    <row r="137" ht="15.75" spans="1:11">
      <c r="A137" s="83"/>
      <c r="B137" s="83"/>
      <c r="C137" s="23"/>
      <c r="D137" s="13" t="s">
        <v>175</v>
      </c>
      <c r="E137" s="14">
        <v>136466</v>
      </c>
      <c r="F137" s="42">
        <v>138100</v>
      </c>
      <c r="G137" s="16">
        <f t="shared" si="4"/>
        <v>3.2471197671</v>
      </c>
      <c r="H137" s="43">
        <v>4.74711707716138</v>
      </c>
      <c r="I137" s="16">
        <f t="shared" si="5"/>
        <v>7.99423684426138</v>
      </c>
      <c r="K137" s="53"/>
    </row>
    <row r="138" ht="15.75" spans="1:11">
      <c r="A138" s="83"/>
      <c r="B138" s="83"/>
      <c r="C138" s="11" t="s">
        <v>95</v>
      </c>
      <c r="D138" s="13" t="s">
        <v>57</v>
      </c>
      <c r="E138" s="14">
        <v>77511</v>
      </c>
      <c r="F138" s="42">
        <v>57907</v>
      </c>
      <c r="G138" s="16">
        <f t="shared" si="4"/>
        <v>1.84432386285</v>
      </c>
      <c r="H138" s="43">
        <v>1.68166940536393</v>
      </c>
      <c r="I138" s="16">
        <f t="shared" si="5"/>
        <v>3.52599326821393</v>
      </c>
      <c r="K138" s="53"/>
    </row>
    <row r="139" ht="15.75" spans="1:11">
      <c r="A139" s="83"/>
      <c r="B139" s="83"/>
      <c r="C139" s="22"/>
      <c r="D139" s="13" t="s">
        <v>77</v>
      </c>
      <c r="E139" s="14">
        <v>28056</v>
      </c>
      <c r="F139" s="42">
        <v>14361</v>
      </c>
      <c r="G139" s="16">
        <f t="shared" si="4"/>
        <v>0.6675742836</v>
      </c>
      <c r="H139" s="43">
        <v>0.388106451969286</v>
      </c>
      <c r="I139" s="16">
        <f t="shared" si="5"/>
        <v>1.05568073556929</v>
      </c>
      <c r="K139" s="53"/>
    </row>
    <row r="140" ht="15.75" spans="1:11">
      <c r="A140" s="83"/>
      <c r="B140" s="83"/>
      <c r="C140" s="23"/>
      <c r="D140" s="13" t="s">
        <v>52</v>
      </c>
      <c r="E140" s="14">
        <v>63931</v>
      </c>
      <c r="F140" s="42">
        <v>40949</v>
      </c>
      <c r="G140" s="16">
        <f t="shared" si="4"/>
        <v>1.52119658985</v>
      </c>
      <c r="H140" s="43">
        <v>1.25120768803864</v>
      </c>
      <c r="I140" s="16">
        <f t="shared" si="5"/>
        <v>2.77240427788864</v>
      </c>
      <c r="K140" s="53"/>
    </row>
    <row r="141" ht="15.75" spans="1:11">
      <c r="A141" s="83"/>
      <c r="B141" s="83"/>
      <c r="C141" s="12" t="s">
        <v>184</v>
      </c>
      <c r="D141" s="13" t="s">
        <v>164</v>
      </c>
      <c r="E141" s="14">
        <v>175382</v>
      </c>
      <c r="F141" s="42">
        <v>100612</v>
      </c>
      <c r="G141" s="16">
        <f t="shared" si="4"/>
        <v>4.1731006917</v>
      </c>
      <c r="H141" s="43">
        <v>3.18437223672398</v>
      </c>
      <c r="I141" s="16">
        <f t="shared" si="5"/>
        <v>7.35747292842398</v>
      </c>
      <c r="K141" s="53"/>
    </row>
    <row r="142" ht="15.75" spans="1:11">
      <c r="A142" s="83"/>
      <c r="B142" s="83"/>
      <c r="C142" s="17"/>
      <c r="D142" s="13" t="s">
        <v>163</v>
      </c>
      <c r="E142" s="14">
        <v>73603</v>
      </c>
      <c r="F142" s="42">
        <v>142780</v>
      </c>
      <c r="G142" s="16">
        <f t="shared" si="4"/>
        <v>1.75133554305</v>
      </c>
      <c r="H142" s="43">
        <v>4.42374704535013</v>
      </c>
      <c r="I142" s="16">
        <f t="shared" si="5"/>
        <v>6.17508258840013</v>
      </c>
      <c r="K142" s="53"/>
    </row>
    <row r="143" ht="15.75" spans="1:11">
      <c r="A143" s="83"/>
      <c r="B143" s="83"/>
      <c r="C143" s="17"/>
      <c r="D143" s="13" t="s">
        <v>158</v>
      </c>
      <c r="E143" s="14">
        <v>156006</v>
      </c>
      <c r="F143" s="42">
        <v>150934</v>
      </c>
      <c r="G143" s="16">
        <f t="shared" si="4"/>
        <v>3.7120613661</v>
      </c>
      <c r="H143" s="43">
        <v>4.55194533256441</v>
      </c>
      <c r="I143" s="16">
        <f t="shared" si="5"/>
        <v>8.26400669866441</v>
      </c>
      <c r="K143" s="53"/>
    </row>
    <row r="144" ht="15.75" spans="1:11">
      <c r="A144" s="83"/>
      <c r="B144" s="83"/>
      <c r="C144" s="21"/>
      <c r="D144" s="13" t="s">
        <v>165</v>
      </c>
      <c r="E144" s="14">
        <v>91156</v>
      </c>
      <c r="F144" s="42">
        <v>143716</v>
      </c>
      <c r="G144" s="16">
        <f t="shared" si="4"/>
        <v>2.1689977686</v>
      </c>
      <c r="H144" s="43">
        <v>4.32419375813576</v>
      </c>
      <c r="I144" s="16">
        <f t="shared" si="5"/>
        <v>6.49319152673576</v>
      </c>
      <c r="K144" s="53"/>
    </row>
    <row r="145" ht="15.75" spans="1:11">
      <c r="A145" s="83"/>
      <c r="B145" s="83"/>
      <c r="C145" s="11" t="s">
        <v>71</v>
      </c>
      <c r="D145" s="151" t="s">
        <v>70</v>
      </c>
      <c r="E145" s="44">
        <v>7063</v>
      </c>
      <c r="F145" s="42">
        <v>8888</v>
      </c>
      <c r="G145" s="16">
        <f t="shared" si="4"/>
        <v>0.16805949405</v>
      </c>
      <c r="H145" s="43">
        <v>0.136194631427592</v>
      </c>
      <c r="I145" s="16">
        <f t="shared" si="5"/>
        <v>0.304254125477592</v>
      </c>
      <c r="K145" s="53"/>
    </row>
    <row r="146" ht="15.75" spans="1:11">
      <c r="A146" s="83"/>
      <c r="B146" s="83"/>
      <c r="C146" s="22"/>
      <c r="D146" s="151" t="s">
        <v>73</v>
      </c>
      <c r="E146" s="44">
        <v>3239</v>
      </c>
      <c r="F146" s="42">
        <v>5767</v>
      </c>
      <c r="G146" s="16">
        <f t="shared" si="4"/>
        <v>0.07706989965</v>
      </c>
      <c r="H146" s="43">
        <v>0.0933027407669945</v>
      </c>
      <c r="I146" s="16">
        <f t="shared" si="5"/>
        <v>0.170372640416995</v>
      </c>
      <c r="K146" s="53"/>
    </row>
    <row r="147" ht="15.75" spans="1:11">
      <c r="A147" s="83"/>
      <c r="B147" s="83"/>
      <c r="C147" s="23"/>
      <c r="D147" s="151" t="s">
        <v>183</v>
      </c>
      <c r="E147" s="44">
        <v>300</v>
      </c>
      <c r="F147" s="42">
        <v>268</v>
      </c>
      <c r="G147" s="16">
        <f t="shared" si="4"/>
        <v>0.007138305</v>
      </c>
      <c r="H147" s="43">
        <v>0.00573660830231815</v>
      </c>
      <c r="I147" s="16">
        <f t="shared" si="5"/>
        <v>0.0128749133023182</v>
      </c>
      <c r="K147" s="53"/>
    </row>
    <row r="148" ht="15.75" spans="1:11">
      <c r="A148" s="83"/>
      <c r="B148" s="83"/>
      <c r="C148" s="11" t="s">
        <v>58</v>
      </c>
      <c r="D148" s="13" t="s">
        <v>156</v>
      </c>
      <c r="E148" s="14">
        <v>889</v>
      </c>
      <c r="F148" s="42">
        <v>2807</v>
      </c>
      <c r="G148" s="16">
        <f t="shared" si="4"/>
        <v>0.02115317715</v>
      </c>
      <c r="H148" s="43">
        <v>0.0539152241383159</v>
      </c>
      <c r="I148" s="16">
        <f t="shared" si="5"/>
        <v>0.0750684012883159</v>
      </c>
      <c r="K148" s="53"/>
    </row>
    <row r="149" ht="15.75" spans="1:11">
      <c r="A149" s="83"/>
      <c r="B149" s="83"/>
      <c r="C149" s="23"/>
      <c r="D149" s="13" t="s">
        <v>157</v>
      </c>
      <c r="E149" s="14">
        <v>81199</v>
      </c>
      <c r="F149" s="42">
        <v>113454</v>
      </c>
      <c r="G149" s="16">
        <f t="shared" si="4"/>
        <v>1.93207742565</v>
      </c>
      <c r="H149" s="43">
        <v>2.10979586481882</v>
      </c>
      <c r="I149" s="16">
        <f t="shared" si="5"/>
        <v>4.04187329046882</v>
      </c>
      <c r="K149" s="53"/>
    </row>
    <row r="150" ht="15.75" spans="1:11">
      <c r="A150" s="83"/>
      <c r="B150" s="83"/>
      <c r="C150" s="11" t="s">
        <v>27</v>
      </c>
      <c r="D150" s="13" t="s">
        <v>31</v>
      </c>
      <c r="E150" s="14">
        <v>94432</v>
      </c>
      <c r="F150" s="42">
        <v>140111</v>
      </c>
      <c r="G150" s="16">
        <f t="shared" si="4"/>
        <v>2.2469480592</v>
      </c>
      <c r="H150" s="43">
        <v>2.3600059110688</v>
      </c>
      <c r="I150" s="16">
        <f t="shared" si="5"/>
        <v>4.6069539702688</v>
      </c>
      <c r="K150" s="53"/>
    </row>
    <row r="151" ht="15.75" spans="1:11">
      <c r="A151" s="83"/>
      <c r="B151" s="83"/>
      <c r="C151" s="22"/>
      <c r="D151" s="13" t="s">
        <v>30</v>
      </c>
      <c r="E151" s="14">
        <v>95846</v>
      </c>
      <c r="F151" s="42">
        <v>201951</v>
      </c>
      <c r="G151" s="16">
        <f t="shared" si="4"/>
        <v>2.2805932701</v>
      </c>
      <c r="H151" s="43">
        <v>2.35254292380298</v>
      </c>
      <c r="I151" s="16">
        <f t="shared" si="5"/>
        <v>4.63313619390298</v>
      </c>
      <c r="K151" s="53"/>
    </row>
    <row r="152" ht="15.75" spans="1:11">
      <c r="A152" s="83"/>
      <c r="B152" s="83"/>
      <c r="C152" s="22"/>
      <c r="D152" s="13" t="s">
        <v>33</v>
      </c>
      <c r="E152" s="14">
        <v>76388</v>
      </c>
      <c r="F152" s="42">
        <v>105666</v>
      </c>
      <c r="G152" s="16">
        <f t="shared" ref="G152:G215" si="6">E152*(65.19*365)/POWER(10,9)</f>
        <v>1.8176028078</v>
      </c>
      <c r="H152" s="43">
        <v>3.20934983073233</v>
      </c>
      <c r="I152" s="16">
        <f t="shared" si="5"/>
        <v>5.02695263853233</v>
      </c>
      <c r="K152" s="53"/>
    </row>
    <row r="153" ht="15.75" spans="1:11">
      <c r="A153" s="83"/>
      <c r="B153" s="83"/>
      <c r="C153" s="22"/>
      <c r="D153" s="13" t="s">
        <v>161</v>
      </c>
      <c r="E153" s="14">
        <v>76303</v>
      </c>
      <c r="F153" s="42">
        <v>142841</v>
      </c>
      <c r="G153" s="16">
        <f t="shared" si="6"/>
        <v>1.81558028805</v>
      </c>
      <c r="H153" s="43">
        <v>4.60701199595636</v>
      </c>
      <c r="I153" s="16">
        <f t="shared" si="5"/>
        <v>6.42259228400636</v>
      </c>
      <c r="K153" s="53"/>
    </row>
    <row r="154" ht="15.75" spans="1:11">
      <c r="A154" s="83"/>
      <c r="B154" s="83"/>
      <c r="C154" s="22"/>
      <c r="D154" s="13" t="s">
        <v>159</v>
      </c>
      <c r="E154" s="14">
        <v>182780</v>
      </c>
      <c r="F154" s="42">
        <v>557990</v>
      </c>
      <c r="G154" s="16">
        <f t="shared" si="6"/>
        <v>4.349131293</v>
      </c>
      <c r="H154" s="43">
        <v>2.8870683252501</v>
      </c>
      <c r="I154" s="16">
        <f t="shared" si="5"/>
        <v>7.2361996182501</v>
      </c>
      <c r="K154" s="53"/>
    </row>
    <row r="155" ht="15.75" spans="1:11">
      <c r="A155" s="83"/>
      <c r="B155" s="83"/>
      <c r="C155" s="22"/>
      <c r="D155" s="13" t="s">
        <v>32</v>
      </c>
      <c r="E155" s="14">
        <v>46519</v>
      </c>
      <c r="F155" s="42">
        <v>65514</v>
      </c>
      <c r="G155" s="16">
        <f t="shared" si="6"/>
        <v>1.10688936765</v>
      </c>
      <c r="H155" s="43">
        <v>1.96513666980856</v>
      </c>
      <c r="I155" s="16">
        <f t="shared" si="5"/>
        <v>3.07202603745856</v>
      </c>
      <c r="K155" s="53"/>
    </row>
    <row r="156" ht="15.75" spans="1:11">
      <c r="A156" s="83"/>
      <c r="B156" s="83"/>
      <c r="C156" s="22"/>
      <c r="D156" s="13" t="s">
        <v>160</v>
      </c>
      <c r="E156" s="14">
        <v>102044</v>
      </c>
      <c r="F156" s="42">
        <v>117549</v>
      </c>
      <c r="G156" s="16">
        <f t="shared" si="6"/>
        <v>2.4280706514</v>
      </c>
      <c r="H156" s="43">
        <v>3.6686161122569</v>
      </c>
      <c r="I156" s="16">
        <f t="shared" si="5"/>
        <v>6.0966867636569</v>
      </c>
      <c r="K156" s="53"/>
    </row>
    <row r="157" ht="15.75" spans="1:11">
      <c r="A157" s="83"/>
      <c r="B157" s="83"/>
      <c r="C157" s="23"/>
      <c r="D157" s="13" t="s">
        <v>28</v>
      </c>
      <c r="E157" s="14">
        <v>188386</v>
      </c>
      <c r="F157" s="42">
        <v>546337</v>
      </c>
      <c r="G157" s="16">
        <f t="shared" si="6"/>
        <v>4.4825224191</v>
      </c>
      <c r="H157" s="43">
        <v>3.88683190498517</v>
      </c>
      <c r="I157" s="16">
        <f t="shared" si="5"/>
        <v>8.36935432408517</v>
      </c>
      <c r="K157" s="53"/>
    </row>
    <row r="158" ht="15.75" spans="1:11">
      <c r="A158" s="83"/>
      <c r="B158" s="83"/>
      <c r="C158" s="12" t="s">
        <v>162</v>
      </c>
      <c r="D158" s="13" t="s">
        <v>171</v>
      </c>
      <c r="E158" s="14">
        <v>80571</v>
      </c>
      <c r="F158" s="42">
        <v>103302</v>
      </c>
      <c r="G158" s="16">
        <f t="shared" si="6"/>
        <v>1.91713457385</v>
      </c>
      <c r="H158" s="43">
        <v>3.04737156849972</v>
      </c>
      <c r="I158" s="16">
        <f t="shared" si="5"/>
        <v>4.96450614234972</v>
      </c>
      <c r="K158" s="53"/>
    </row>
    <row r="159" ht="15.75" spans="1:11">
      <c r="A159" s="83"/>
      <c r="B159" s="83"/>
      <c r="C159" s="17"/>
      <c r="D159" s="13" t="s">
        <v>173</v>
      </c>
      <c r="E159" s="14">
        <v>147029</v>
      </c>
      <c r="F159" s="42">
        <v>95359</v>
      </c>
      <c r="G159" s="16">
        <f t="shared" si="6"/>
        <v>3.49845948615</v>
      </c>
      <c r="H159" s="43">
        <v>3.47041615731941</v>
      </c>
      <c r="I159" s="16">
        <f t="shared" si="5"/>
        <v>6.96887564346941</v>
      </c>
      <c r="K159" s="53"/>
    </row>
    <row r="160" ht="15.75" spans="1:11">
      <c r="A160" s="83"/>
      <c r="B160" s="83"/>
      <c r="C160" s="17"/>
      <c r="D160" s="13" t="s">
        <v>169</v>
      </c>
      <c r="E160" s="14">
        <v>121162</v>
      </c>
      <c r="F160" s="42">
        <v>237519</v>
      </c>
      <c r="G160" s="16">
        <f t="shared" si="6"/>
        <v>2.8829710347</v>
      </c>
      <c r="H160" s="43">
        <v>4.4823209289543</v>
      </c>
      <c r="I160" s="16">
        <f t="shared" si="5"/>
        <v>7.3652919636543</v>
      </c>
      <c r="K160" s="53"/>
    </row>
    <row r="161" ht="15.75" spans="1:11">
      <c r="A161" s="83"/>
      <c r="B161" s="83"/>
      <c r="C161" s="17"/>
      <c r="D161" s="13" t="s">
        <v>170</v>
      </c>
      <c r="E161" s="14">
        <v>60117</v>
      </c>
      <c r="F161" s="42">
        <v>187324</v>
      </c>
      <c r="G161" s="16">
        <f t="shared" si="6"/>
        <v>1.43044493895</v>
      </c>
      <c r="H161" s="43">
        <v>4.0134741889467</v>
      </c>
      <c r="I161" s="16">
        <f t="shared" si="5"/>
        <v>5.4439191278967</v>
      </c>
      <c r="K161" s="53"/>
    </row>
    <row r="162" ht="15.75" spans="1:11">
      <c r="A162" s="83"/>
      <c r="B162" s="83"/>
      <c r="C162" s="17"/>
      <c r="D162" s="13" t="s">
        <v>167</v>
      </c>
      <c r="E162" s="14">
        <v>122390</v>
      </c>
      <c r="F162" s="42">
        <v>240173</v>
      </c>
      <c r="G162" s="16">
        <f t="shared" si="6"/>
        <v>2.9121904965</v>
      </c>
      <c r="H162" s="43">
        <v>3.8718342078776</v>
      </c>
      <c r="I162" s="16">
        <f t="shared" si="5"/>
        <v>6.7840247043776</v>
      </c>
      <c r="K162" s="53"/>
    </row>
    <row r="163" ht="15.75" spans="1:11">
      <c r="A163" s="83"/>
      <c r="B163" s="83"/>
      <c r="C163" s="17"/>
      <c r="D163" s="13" t="s">
        <v>166</v>
      </c>
      <c r="E163" s="14">
        <v>140809</v>
      </c>
      <c r="F163" s="42">
        <v>177567</v>
      </c>
      <c r="G163" s="16">
        <f t="shared" si="6"/>
        <v>3.35045862915</v>
      </c>
      <c r="H163" s="43">
        <v>5.16676614568133</v>
      </c>
      <c r="I163" s="16">
        <f t="shared" si="5"/>
        <v>8.51722477483133</v>
      </c>
      <c r="K163" s="53"/>
    </row>
    <row r="164" ht="15.75" spans="1:11">
      <c r="A164" s="83"/>
      <c r="B164" s="83"/>
      <c r="C164" s="17"/>
      <c r="D164" s="13" t="s">
        <v>168</v>
      </c>
      <c r="E164" s="14">
        <v>59</v>
      </c>
      <c r="F164" s="42">
        <v>54</v>
      </c>
      <c r="G164" s="16">
        <f t="shared" si="6"/>
        <v>0.00140386665</v>
      </c>
      <c r="H164" s="43">
        <v>0.00116760052955878</v>
      </c>
      <c r="I164" s="16">
        <f t="shared" si="5"/>
        <v>0.00257146717955878</v>
      </c>
      <c r="K164" s="53"/>
    </row>
    <row r="165" ht="15.75" spans="1:11">
      <c r="A165" s="83"/>
      <c r="B165" s="83"/>
      <c r="C165" s="17"/>
      <c r="D165" s="13" t="s">
        <v>172</v>
      </c>
      <c r="E165" s="14">
        <v>60633</v>
      </c>
      <c r="F165" s="42">
        <v>67438</v>
      </c>
      <c r="G165" s="16">
        <f t="shared" si="6"/>
        <v>1.44272282355</v>
      </c>
      <c r="H165" s="43">
        <v>1.75982391720385</v>
      </c>
      <c r="I165" s="16">
        <f t="shared" si="5"/>
        <v>3.20254674075385</v>
      </c>
      <c r="K165" s="53"/>
    </row>
    <row r="166" ht="15.75" spans="1:11">
      <c r="A166" s="84"/>
      <c r="B166" s="84"/>
      <c r="C166" s="21"/>
      <c r="D166" s="13" t="s">
        <v>162</v>
      </c>
      <c r="E166" s="14">
        <v>110463</v>
      </c>
      <c r="F166" s="42">
        <v>265072</v>
      </c>
      <c r="G166" s="16">
        <f t="shared" si="6"/>
        <v>2.62839528405</v>
      </c>
      <c r="H166" s="43">
        <v>5.66371937750393</v>
      </c>
      <c r="I166" s="16">
        <f t="shared" si="5"/>
        <v>8.29211466155393</v>
      </c>
      <c r="K166" s="53"/>
    </row>
    <row r="167" ht="15.75" spans="1:11">
      <c r="A167" s="70">
        <v>4</v>
      </c>
      <c r="B167" s="70">
        <v>2011</v>
      </c>
      <c r="C167" s="11" t="s">
        <v>48</v>
      </c>
      <c r="D167" s="13" t="s">
        <v>150</v>
      </c>
      <c r="E167" s="14">
        <v>236363</v>
      </c>
      <c r="F167" s="42">
        <v>187652</v>
      </c>
      <c r="G167" s="16">
        <f t="shared" si="6"/>
        <v>5.62410394905</v>
      </c>
      <c r="H167" s="43">
        <v>5.23024182225</v>
      </c>
      <c r="I167" s="16">
        <f t="shared" si="5"/>
        <v>10.8543457713</v>
      </c>
      <c r="K167" s="53"/>
    </row>
    <row r="168" ht="15.75" spans="1:11">
      <c r="A168" s="83"/>
      <c r="B168" s="83"/>
      <c r="C168" s="22"/>
      <c r="D168" s="13" t="s">
        <v>151</v>
      </c>
      <c r="E168" s="14">
        <v>162600</v>
      </c>
      <c r="F168" s="42">
        <v>82413</v>
      </c>
      <c r="G168" s="16">
        <f t="shared" si="6"/>
        <v>3.86896131</v>
      </c>
      <c r="H168" s="43">
        <v>1.71191531437175</v>
      </c>
      <c r="I168" s="16">
        <f t="shared" si="5"/>
        <v>5.58087662437175</v>
      </c>
      <c r="K168" s="53"/>
    </row>
    <row r="169" ht="15.75" spans="1:11">
      <c r="A169" s="83"/>
      <c r="B169" s="83"/>
      <c r="C169" s="22"/>
      <c r="D169" s="13" t="s">
        <v>149</v>
      </c>
      <c r="E169" s="14">
        <v>331416</v>
      </c>
      <c r="F169" s="42">
        <v>180782</v>
      </c>
      <c r="G169" s="16">
        <f t="shared" si="6"/>
        <v>7.8858282996</v>
      </c>
      <c r="H169" s="43">
        <v>3.89347407125</v>
      </c>
      <c r="I169" s="16">
        <f t="shared" si="5"/>
        <v>11.77930237085</v>
      </c>
      <c r="K169" s="53"/>
    </row>
    <row r="170" ht="15.75" spans="1:11">
      <c r="A170" s="83"/>
      <c r="B170" s="83"/>
      <c r="C170" s="22"/>
      <c r="D170" s="13" t="s">
        <v>155</v>
      </c>
      <c r="E170" s="14">
        <v>375411</v>
      </c>
      <c r="F170" s="42">
        <v>187089</v>
      </c>
      <c r="G170" s="16">
        <f t="shared" si="6"/>
        <v>8.93266072785</v>
      </c>
      <c r="H170" s="43">
        <v>4.9667188240273</v>
      </c>
      <c r="I170" s="16">
        <f t="shared" si="5"/>
        <v>13.8993795518773</v>
      </c>
      <c r="K170" s="53"/>
    </row>
    <row r="171" ht="15.75" spans="1:11">
      <c r="A171" s="83"/>
      <c r="B171" s="83"/>
      <c r="C171" s="22"/>
      <c r="D171" s="13" t="s">
        <v>147</v>
      </c>
      <c r="E171" s="14">
        <v>244200</v>
      </c>
      <c r="F171" s="42">
        <v>179341</v>
      </c>
      <c r="G171" s="16">
        <f t="shared" si="6"/>
        <v>5.81058027</v>
      </c>
      <c r="H171" s="43">
        <v>5.13330531663151</v>
      </c>
      <c r="I171" s="16">
        <f t="shared" si="5"/>
        <v>10.9438855866315</v>
      </c>
      <c r="K171" s="53"/>
    </row>
    <row r="172" ht="15.75" spans="1:11">
      <c r="A172" s="83"/>
      <c r="B172" s="83"/>
      <c r="C172" s="22"/>
      <c r="D172" s="13" t="s">
        <v>153</v>
      </c>
      <c r="E172" s="14">
        <v>141430</v>
      </c>
      <c r="F172" s="42">
        <v>153199</v>
      </c>
      <c r="G172" s="16">
        <f t="shared" si="6"/>
        <v>3.3652349205</v>
      </c>
      <c r="H172" s="43">
        <v>4.41103191826337</v>
      </c>
      <c r="I172" s="16">
        <f t="shared" si="5"/>
        <v>7.77626683876337</v>
      </c>
      <c r="K172" s="53"/>
    </row>
    <row r="173" ht="15.75" spans="1:11">
      <c r="A173" s="83"/>
      <c r="B173" s="83"/>
      <c r="C173" s="22"/>
      <c r="D173" s="13" t="s">
        <v>154</v>
      </c>
      <c r="E173" s="14">
        <v>119427</v>
      </c>
      <c r="F173" s="42">
        <v>127628</v>
      </c>
      <c r="G173" s="16">
        <f t="shared" si="6"/>
        <v>2.84168783745</v>
      </c>
      <c r="H173" s="43">
        <v>3.03380752707872</v>
      </c>
      <c r="I173" s="16">
        <f t="shared" si="5"/>
        <v>5.87549536452872</v>
      </c>
      <c r="K173" s="53"/>
    </row>
    <row r="174" ht="15.75" spans="1:11">
      <c r="A174" s="83"/>
      <c r="B174" s="83"/>
      <c r="C174" s="22"/>
      <c r="D174" s="13" t="s">
        <v>152</v>
      </c>
      <c r="E174" s="14">
        <v>12650</v>
      </c>
      <c r="F174" s="42">
        <v>8854</v>
      </c>
      <c r="G174" s="16">
        <f t="shared" si="6"/>
        <v>0.3009985275</v>
      </c>
      <c r="H174" s="43">
        <v>0.18941205033502</v>
      </c>
      <c r="I174" s="16">
        <f t="shared" si="5"/>
        <v>0.49041057783502</v>
      </c>
      <c r="K174" s="53"/>
    </row>
    <row r="175" ht="15.75" spans="1:11">
      <c r="A175" s="83"/>
      <c r="B175" s="83"/>
      <c r="C175" s="23"/>
      <c r="D175" s="13" t="s">
        <v>148</v>
      </c>
      <c r="E175" s="14">
        <v>208084</v>
      </c>
      <c r="F175" s="42">
        <v>158807</v>
      </c>
      <c r="G175" s="16">
        <f t="shared" si="6"/>
        <v>4.9512235254</v>
      </c>
      <c r="H175" s="43">
        <v>4.54392038675</v>
      </c>
      <c r="I175" s="16">
        <f t="shared" si="5"/>
        <v>9.49514391215</v>
      </c>
      <c r="K175" s="53"/>
    </row>
    <row r="176" ht="15.75" spans="1:11">
      <c r="A176" s="83"/>
      <c r="B176" s="83"/>
      <c r="C176" s="11" t="s">
        <v>37</v>
      </c>
      <c r="D176" s="13" t="s">
        <v>37</v>
      </c>
      <c r="E176" s="14">
        <v>41282</v>
      </c>
      <c r="F176" s="42">
        <v>105363</v>
      </c>
      <c r="G176" s="16">
        <f t="shared" si="6"/>
        <v>0.9822783567</v>
      </c>
      <c r="H176" s="43">
        <v>1.12416999394787</v>
      </c>
      <c r="I176" s="16">
        <f t="shared" si="5"/>
        <v>2.10644835064787</v>
      </c>
      <c r="K176" s="53"/>
    </row>
    <row r="177" ht="15.75" spans="1:11">
      <c r="A177" s="83"/>
      <c r="B177" s="83"/>
      <c r="C177" s="23"/>
      <c r="D177" s="13" t="s">
        <v>39</v>
      </c>
      <c r="E177" s="14">
        <v>46302</v>
      </c>
      <c r="F177" s="42">
        <v>63669</v>
      </c>
      <c r="G177" s="16">
        <f t="shared" si="6"/>
        <v>1.1017259937</v>
      </c>
      <c r="H177" s="43">
        <v>2.14118278518307</v>
      </c>
      <c r="I177" s="16">
        <f t="shared" si="5"/>
        <v>3.24290877888307</v>
      </c>
      <c r="K177" s="53"/>
    </row>
    <row r="178" ht="15.75" spans="1:11">
      <c r="A178" s="83"/>
      <c r="B178" s="83"/>
      <c r="C178" s="11" t="s">
        <v>65</v>
      </c>
      <c r="D178" s="13" t="s">
        <v>78</v>
      </c>
      <c r="E178" s="14">
        <v>89299</v>
      </c>
      <c r="F178" s="42">
        <v>91394</v>
      </c>
      <c r="G178" s="16">
        <f t="shared" si="6"/>
        <v>2.12481166065</v>
      </c>
      <c r="H178" s="43">
        <v>2.40097695933333</v>
      </c>
      <c r="I178" s="16">
        <f t="shared" si="5"/>
        <v>4.52578861998333</v>
      </c>
      <c r="K178" s="53"/>
    </row>
    <row r="179" ht="15.75" spans="1:11">
      <c r="A179" s="83"/>
      <c r="B179" s="83"/>
      <c r="C179" s="22"/>
      <c r="D179" s="13" t="s">
        <v>174</v>
      </c>
      <c r="E179" s="14">
        <v>183549</v>
      </c>
      <c r="F179" s="42">
        <v>123913</v>
      </c>
      <c r="G179" s="16">
        <f t="shared" si="6"/>
        <v>4.36742914815</v>
      </c>
      <c r="H179" s="43">
        <v>3.77052231866667</v>
      </c>
      <c r="I179" s="16">
        <f t="shared" ref="I179:I242" si="7">G179+H179</f>
        <v>8.13795146681667</v>
      </c>
      <c r="K179" s="53"/>
    </row>
    <row r="180" ht="15.75" spans="1:11">
      <c r="A180" s="83"/>
      <c r="B180" s="83"/>
      <c r="C180" s="22"/>
      <c r="D180" s="13" t="s">
        <v>176</v>
      </c>
      <c r="E180" s="14">
        <v>194436</v>
      </c>
      <c r="F180" s="42">
        <v>182622</v>
      </c>
      <c r="G180" s="16">
        <f t="shared" si="6"/>
        <v>4.6264782366</v>
      </c>
      <c r="H180" s="43">
        <v>4.16712348941667</v>
      </c>
      <c r="I180" s="16">
        <f t="shared" si="7"/>
        <v>8.79360172601667</v>
      </c>
      <c r="K180" s="53"/>
    </row>
    <row r="181" ht="15.75" spans="1:11">
      <c r="A181" s="83"/>
      <c r="B181" s="83"/>
      <c r="C181" s="22"/>
      <c r="D181" s="13" t="s">
        <v>181</v>
      </c>
      <c r="E181" s="14">
        <v>238657</v>
      </c>
      <c r="F181" s="42">
        <v>2384435</v>
      </c>
      <c r="G181" s="16">
        <f t="shared" si="6"/>
        <v>5.67868818795</v>
      </c>
      <c r="H181" s="43">
        <v>5.8054103078</v>
      </c>
      <c r="I181" s="16">
        <f t="shared" si="7"/>
        <v>11.48409849575</v>
      </c>
      <c r="K181" s="53"/>
    </row>
    <row r="182" ht="15.75" spans="1:11">
      <c r="A182" s="83"/>
      <c r="B182" s="83"/>
      <c r="C182" s="22"/>
      <c r="D182" s="13" t="s">
        <v>180</v>
      </c>
      <c r="E182" s="14">
        <v>158085</v>
      </c>
      <c r="F182" s="42">
        <v>124826</v>
      </c>
      <c r="G182" s="16">
        <f t="shared" si="6"/>
        <v>3.76152981975</v>
      </c>
      <c r="H182" s="43">
        <v>2.49449150011355</v>
      </c>
      <c r="I182" s="16">
        <f t="shared" si="7"/>
        <v>6.25602131986355</v>
      </c>
      <c r="K182" s="53"/>
    </row>
    <row r="183" ht="15.75" spans="1:11">
      <c r="A183" s="83"/>
      <c r="B183" s="83"/>
      <c r="C183" s="22"/>
      <c r="D183" s="13" t="s">
        <v>179</v>
      </c>
      <c r="E183" s="14">
        <v>202820</v>
      </c>
      <c r="F183" s="42">
        <v>561084</v>
      </c>
      <c r="G183" s="16">
        <f t="shared" si="6"/>
        <v>4.825970067</v>
      </c>
      <c r="H183" s="43">
        <v>5.20861010900884</v>
      </c>
      <c r="I183" s="16">
        <f t="shared" si="7"/>
        <v>10.0345801760088</v>
      </c>
      <c r="K183" s="53"/>
    </row>
    <row r="184" ht="15.75" spans="1:11">
      <c r="A184" s="83"/>
      <c r="B184" s="83"/>
      <c r="C184" s="22"/>
      <c r="D184" s="13" t="s">
        <v>65</v>
      </c>
      <c r="E184" s="14">
        <v>174671</v>
      </c>
      <c r="F184" s="42">
        <v>1254515</v>
      </c>
      <c r="G184" s="16">
        <f t="shared" si="6"/>
        <v>4.15618290885</v>
      </c>
      <c r="H184" s="43">
        <v>3.79881361466667</v>
      </c>
      <c r="I184" s="16">
        <f t="shared" si="7"/>
        <v>7.95499652351667</v>
      </c>
      <c r="K184" s="53"/>
    </row>
    <row r="185" ht="15.75" spans="1:11">
      <c r="A185" s="83"/>
      <c r="B185" s="83"/>
      <c r="C185" s="22"/>
      <c r="D185" s="13" t="s">
        <v>178</v>
      </c>
      <c r="E185" s="14">
        <v>150491</v>
      </c>
      <c r="F185" s="42">
        <v>380227</v>
      </c>
      <c r="G185" s="16">
        <f t="shared" si="6"/>
        <v>3.58083552585</v>
      </c>
      <c r="H185" s="43">
        <v>4.08848897346667</v>
      </c>
      <c r="I185" s="16">
        <f t="shared" si="7"/>
        <v>7.66932449931667</v>
      </c>
      <c r="K185" s="53"/>
    </row>
    <row r="186" ht="15.75" spans="1:11">
      <c r="A186" s="83"/>
      <c r="B186" s="83"/>
      <c r="C186" s="22"/>
      <c r="D186" s="13" t="s">
        <v>66</v>
      </c>
      <c r="E186" s="14">
        <v>108847</v>
      </c>
      <c r="F186" s="42">
        <v>82362</v>
      </c>
      <c r="G186" s="16">
        <f t="shared" si="6"/>
        <v>2.58994361445</v>
      </c>
      <c r="H186" s="43">
        <v>2.39873074631655</v>
      </c>
      <c r="I186" s="16">
        <f t="shared" si="7"/>
        <v>4.98867436076655</v>
      </c>
      <c r="K186" s="53"/>
    </row>
    <row r="187" ht="15.75" spans="1:11">
      <c r="A187" s="83"/>
      <c r="B187" s="83"/>
      <c r="C187" s="22"/>
      <c r="D187" s="13" t="s">
        <v>177</v>
      </c>
      <c r="E187" s="14">
        <v>156716</v>
      </c>
      <c r="F187" s="42">
        <v>154427</v>
      </c>
      <c r="G187" s="16">
        <f t="shared" si="6"/>
        <v>3.7289553546</v>
      </c>
      <c r="H187" s="43">
        <v>4.51497925691667</v>
      </c>
      <c r="I187" s="16">
        <f t="shared" si="7"/>
        <v>8.24393461151667</v>
      </c>
      <c r="K187" s="53"/>
    </row>
    <row r="188" ht="15.75" spans="1:11">
      <c r="A188" s="83"/>
      <c r="B188" s="83"/>
      <c r="C188" s="22"/>
      <c r="D188" s="13" t="s">
        <v>182</v>
      </c>
      <c r="E188" s="14">
        <v>203920</v>
      </c>
      <c r="F188" s="42">
        <v>773572</v>
      </c>
      <c r="G188" s="16">
        <f t="shared" si="6"/>
        <v>4.852143852</v>
      </c>
      <c r="H188" s="43">
        <v>4.40162109741667</v>
      </c>
      <c r="I188" s="16">
        <f t="shared" si="7"/>
        <v>9.25376494941667</v>
      </c>
      <c r="K188" s="53"/>
    </row>
    <row r="189" ht="15.75" spans="1:11">
      <c r="A189" s="83"/>
      <c r="B189" s="83"/>
      <c r="C189" s="23"/>
      <c r="D189" s="13" t="s">
        <v>175</v>
      </c>
      <c r="E189" s="14">
        <v>186491</v>
      </c>
      <c r="F189" s="42">
        <v>122472</v>
      </c>
      <c r="G189" s="16">
        <f t="shared" si="6"/>
        <v>4.43743212585</v>
      </c>
      <c r="H189" s="43">
        <v>3.85323114833333</v>
      </c>
      <c r="I189" s="16">
        <f t="shared" si="7"/>
        <v>8.29066327418333</v>
      </c>
      <c r="K189" s="53"/>
    </row>
    <row r="190" ht="15.75" spans="1:11">
      <c r="A190" s="83"/>
      <c r="B190" s="83"/>
      <c r="C190" s="11" t="s">
        <v>95</v>
      </c>
      <c r="D190" s="13" t="s">
        <v>57</v>
      </c>
      <c r="E190" s="14">
        <v>92227</v>
      </c>
      <c r="F190" s="42">
        <v>56290</v>
      </c>
      <c r="G190" s="16">
        <f t="shared" si="6"/>
        <v>2.19448151745</v>
      </c>
      <c r="H190" s="43">
        <v>1.72322564127301</v>
      </c>
      <c r="I190" s="16">
        <f t="shared" si="7"/>
        <v>3.91770715872301</v>
      </c>
      <c r="K190" s="53"/>
    </row>
    <row r="191" ht="15.75" spans="1:11">
      <c r="A191" s="83"/>
      <c r="B191" s="83"/>
      <c r="C191" s="22"/>
      <c r="D191" s="13" t="s">
        <v>77</v>
      </c>
      <c r="E191" s="14">
        <v>33382</v>
      </c>
      <c r="F191" s="42">
        <v>14328</v>
      </c>
      <c r="G191" s="16">
        <f t="shared" si="6"/>
        <v>0.7943029917</v>
      </c>
      <c r="H191" s="43">
        <v>0.37436190812202</v>
      </c>
      <c r="I191" s="16">
        <f t="shared" si="7"/>
        <v>1.16866489982202</v>
      </c>
      <c r="K191" s="53"/>
    </row>
    <row r="192" ht="15.75" spans="1:11">
      <c r="A192" s="83"/>
      <c r="B192" s="83"/>
      <c r="C192" s="23"/>
      <c r="D192" s="13" t="s">
        <v>52</v>
      </c>
      <c r="E192" s="14">
        <v>76068</v>
      </c>
      <c r="F192" s="42">
        <v>54802</v>
      </c>
      <c r="G192" s="16">
        <f t="shared" si="6"/>
        <v>1.8099886158</v>
      </c>
      <c r="H192" s="43">
        <v>1.44615512895991</v>
      </c>
      <c r="I192" s="16">
        <f t="shared" si="7"/>
        <v>3.25614374475991</v>
      </c>
      <c r="K192" s="53"/>
    </row>
    <row r="193" ht="15.75" spans="1:11">
      <c r="A193" s="83"/>
      <c r="B193" s="83"/>
      <c r="C193" s="12" t="s">
        <v>184</v>
      </c>
      <c r="D193" s="13" t="s">
        <v>164</v>
      </c>
      <c r="E193" s="14">
        <v>238908</v>
      </c>
      <c r="F193" s="42">
        <v>105026</v>
      </c>
      <c r="G193" s="16">
        <f t="shared" si="6"/>
        <v>5.6846605698</v>
      </c>
      <c r="H193" s="43">
        <v>2.99041082941996</v>
      </c>
      <c r="I193" s="16">
        <f t="shared" si="7"/>
        <v>8.67507139921996</v>
      </c>
      <c r="K193" s="53"/>
    </row>
    <row r="194" ht="15.75" spans="1:11">
      <c r="A194" s="83"/>
      <c r="B194" s="83"/>
      <c r="C194" s="17"/>
      <c r="D194" s="13" t="s">
        <v>163</v>
      </c>
      <c r="E194" s="14">
        <v>100262</v>
      </c>
      <c r="F194" s="42">
        <v>106318</v>
      </c>
      <c r="G194" s="16">
        <f t="shared" si="6"/>
        <v>2.3856691197</v>
      </c>
      <c r="H194" s="43">
        <v>3.15556974075</v>
      </c>
      <c r="I194" s="16">
        <f t="shared" si="7"/>
        <v>5.54123886045</v>
      </c>
      <c r="K194" s="53"/>
    </row>
    <row r="195" ht="15.75" spans="1:11">
      <c r="A195" s="83"/>
      <c r="B195" s="83"/>
      <c r="C195" s="17"/>
      <c r="D195" s="13" t="s">
        <v>158</v>
      </c>
      <c r="E195" s="14">
        <v>212513</v>
      </c>
      <c r="F195" s="42">
        <v>157791</v>
      </c>
      <c r="G195" s="16">
        <f t="shared" si="6"/>
        <v>5.05660870155</v>
      </c>
      <c r="H195" s="43">
        <v>4.82203753243587</v>
      </c>
      <c r="I195" s="16">
        <f t="shared" si="7"/>
        <v>9.87864623398587</v>
      </c>
      <c r="K195" s="53"/>
    </row>
    <row r="196" ht="15.75" spans="1:11">
      <c r="A196" s="83"/>
      <c r="B196" s="83"/>
      <c r="C196" s="21"/>
      <c r="D196" s="13" t="s">
        <v>165</v>
      </c>
      <c r="E196" s="14">
        <v>124174</v>
      </c>
      <c r="F196" s="42">
        <v>107055</v>
      </c>
      <c r="G196" s="16">
        <f t="shared" si="6"/>
        <v>2.9546396169</v>
      </c>
      <c r="H196" s="43">
        <v>3.381905967</v>
      </c>
      <c r="I196" s="16">
        <f t="shared" si="7"/>
        <v>6.3365455839</v>
      </c>
      <c r="K196" s="53"/>
    </row>
    <row r="197" ht="15.75" spans="1:11">
      <c r="A197" s="83"/>
      <c r="B197" s="83"/>
      <c r="C197" s="11" t="s">
        <v>71</v>
      </c>
      <c r="D197" s="151" t="s">
        <v>70</v>
      </c>
      <c r="E197" s="44">
        <v>7663</v>
      </c>
      <c r="F197" s="42">
        <v>11334</v>
      </c>
      <c r="G197" s="16">
        <f t="shared" si="6"/>
        <v>0.18233610405</v>
      </c>
      <c r="H197" s="43">
        <v>0.151734035311343</v>
      </c>
      <c r="I197" s="16">
        <f t="shared" si="7"/>
        <v>0.334070139361343</v>
      </c>
      <c r="K197" s="53"/>
    </row>
    <row r="198" ht="15.75" spans="1:11">
      <c r="A198" s="83"/>
      <c r="B198" s="83"/>
      <c r="C198" s="22"/>
      <c r="D198" s="151" t="s">
        <v>73</v>
      </c>
      <c r="E198" s="44">
        <v>3514</v>
      </c>
      <c r="F198" s="42">
        <v>8496</v>
      </c>
      <c r="G198" s="16">
        <f t="shared" si="6"/>
        <v>0.0836133459</v>
      </c>
      <c r="H198" s="43">
        <v>0.11435897664178</v>
      </c>
      <c r="I198" s="16">
        <f t="shared" si="7"/>
        <v>0.19797232254178</v>
      </c>
      <c r="K198" s="53"/>
    </row>
    <row r="199" ht="15.75" spans="1:11">
      <c r="A199" s="83"/>
      <c r="B199" s="83"/>
      <c r="C199" s="23"/>
      <c r="D199" s="151" t="s">
        <v>183</v>
      </c>
      <c r="E199" s="44">
        <v>326</v>
      </c>
      <c r="F199" s="42">
        <v>390</v>
      </c>
      <c r="G199" s="16">
        <f t="shared" si="6"/>
        <v>0.0077569581</v>
      </c>
      <c r="H199" s="43">
        <v>0.00659872900692</v>
      </c>
      <c r="I199" s="16">
        <f t="shared" si="7"/>
        <v>0.01435568710692</v>
      </c>
      <c r="K199" s="53"/>
    </row>
    <row r="200" ht="15.75" spans="1:11">
      <c r="A200" s="83"/>
      <c r="B200" s="83"/>
      <c r="C200" s="11" t="s">
        <v>58</v>
      </c>
      <c r="D200" s="13" t="s">
        <v>156</v>
      </c>
      <c r="E200" s="14">
        <v>1048</v>
      </c>
      <c r="F200" s="42">
        <v>1411</v>
      </c>
      <c r="G200" s="16">
        <f t="shared" si="6"/>
        <v>0.0249364788</v>
      </c>
      <c r="H200" s="43">
        <v>0.0341582265014487</v>
      </c>
      <c r="I200" s="16">
        <f t="shared" si="7"/>
        <v>0.0590947053014487</v>
      </c>
      <c r="K200" s="53"/>
    </row>
    <row r="201" ht="15.75" spans="1:11">
      <c r="A201" s="83"/>
      <c r="B201" s="83"/>
      <c r="C201" s="23"/>
      <c r="D201" s="13" t="s">
        <v>157</v>
      </c>
      <c r="E201" s="14">
        <v>95741</v>
      </c>
      <c r="F201" s="42">
        <v>101051</v>
      </c>
      <c r="G201" s="16">
        <f t="shared" si="6"/>
        <v>2.27809486335</v>
      </c>
      <c r="H201" s="43">
        <v>2.30680298601226</v>
      </c>
      <c r="I201" s="16">
        <f t="shared" si="7"/>
        <v>4.58489784936226</v>
      </c>
      <c r="K201" s="53"/>
    </row>
    <row r="202" ht="15.75" spans="1:11">
      <c r="A202" s="83"/>
      <c r="B202" s="83"/>
      <c r="C202" s="11" t="s">
        <v>27</v>
      </c>
      <c r="D202" s="13" t="s">
        <v>31</v>
      </c>
      <c r="E202" s="14">
        <v>102702</v>
      </c>
      <c r="F202" s="42">
        <v>135709</v>
      </c>
      <c r="G202" s="16">
        <f t="shared" si="6"/>
        <v>2.4437273337</v>
      </c>
      <c r="H202" s="43">
        <v>2.38980288927655</v>
      </c>
      <c r="I202" s="16">
        <f t="shared" si="7"/>
        <v>4.83353022297655</v>
      </c>
      <c r="K202" s="53"/>
    </row>
    <row r="203" ht="15.75" spans="1:11">
      <c r="A203" s="83"/>
      <c r="B203" s="83"/>
      <c r="C203" s="22"/>
      <c r="D203" s="13" t="s">
        <v>30</v>
      </c>
      <c r="E203" s="14">
        <v>104239</v>
      </c>
      <c r="F203" s="42">
        <v>207777</v>
      </c>
      <c r="G203" s="16">
        <f t="shared" si="6"/>
        <v>2.48029924965</v>
      </c>
      <c r="H203" s="43">
        <v>2.22833462491227</v>
      </c>
      <c r="I203" s="16">
        <f t="shared" si="7"/>
        <v>4.70863387456227</v>
      </c>
      <c r="K203" s="53"/>
    </row>
    <row r="204" ht="15.75" spans="1:11">
      <c r="A204" s="83"/>
      <c r="B204" s="83"/>
      <c r="C204" s="22"/>
      <c r="D204" s="13" t="s">
        <v>33</v>
      </c>
      <c r="E204" s="14">
        <v>112046</v>
      </c>
      <c r="F204" s="42">
        <v>126492</v>
      </c>
      <c r="G204" s="16">
        <f t="shared" si="6"/>
        <v>2.6660617401</v>
      </c>
      <c r="H204" s="43">
        <v>3.33479278425865</v>
      </c>
      <c r="I204" s="16">
        <f t="shared" si="7"/>
        <v>6.00085452435865</v>
      </c>
      <c r="K204" s="53"/>
    </row>
    <row r="205" ht="15.75" spans="1:11">
      <c r="A205" s="83"/>
      <c r="B205" s="83"/>
      <c r="C205" s="22"/>
      <c r="D205" s="13" t="s">
        <v>161</v>
      </c>
      <c r="E205" s="14">
        <v>111921</v>
      </c>
      <c r="F205" s="42">
        <v>135700</v>
      </c>
      <c r="G205" s="16">
        <f t="shared" si="6"/>
        <v>2.66308744635</v>
      </c>
      <c r="H205" s="43">
        <v>3.344659177</v>
      </c>
      <c r="I205" s="16">
        <f t="shared" si="7"/>
        <v>6.00774662335</v>
      </c>
      <c r="K205" s="53"/>
    </row>
    <row r="206" ht="15.75" spans="1:11">
      <c r="A206" s="83"/>
      <c r="B206" s="83"/>
      <c r="C206" s="22"/>
      <c r="D206" s="13" t="s">
        <v>159</v>
      </c>
      <c r="E206" s="14">
        <v>198787</v>
      </c>
      <c r="F206" s="42">
        <v>546791</v>
      </c>
      <c r="G206" s="16">
        <f t="shared" si="6"/>
        <v>4.73000745345</v>
      </c>
      <c r="H206" s="43">
        <v>3.03312383292187</v>
      </c>
      <c r="I206" s="16">
        <f t="shared" si="7"/>
        <v>7.76313128637187</v>
      </c>
      <c r="K206" s="53"/>
    </row>
    <row r="207" ht="15.75" spans="1:11">
      <c r="A207" s="83"/>
      <c r="B207" s="83"/>
      <c r="C207" s="22"/>
      <c r="D207" s="13" t="s">
        <v>32</v>
      </c>
      <c r="E207" s="14">
        <v>68235</v>
      </c>
      <c r="F207" s="42">
        <v>68085</v>
      </c>
      <c r="G207" s="16">
        <f t="shared" si="6"/>
        <v>1.62360747225</v>
      </c>
      <c r="H207" s="43">
        <v>1.81144057403477</v>
      </c>
      <c r="I207" s="16">
        <f t="shared" si="7"/>
        <v>3.43504804628477</v>
      </c>
      <c r="K207" s="53"/>
    </row>
    <row r="208" ht="15.75" spans="1:11">
      <c r="A208" s="83"/>
      <c r="B208" s="83"/>
      <c r="C208" s="22"/>
      <c r="D208" s="13" t="s">
        <v>160</v>
      </c>
      <c r="E208" s="14">
        <v>149679</v>
      </c>
      <c r="F208" s="42">
        <v>164309</v>
      </c>
      <c r="G208" s="16">
        <f t="shared" si="6"/>
        <v>3.56151451365</v>
      </c>
      <c r="H208" s="43">
        <v>4.30244200775</v>
      </c>
      <c r="I208" s="16">
        <f t="shared" si="7"/>
        <v>7.8639565214</v>
      </c>
      <c r="K208" s="53"/>
    </row>
    <row r="209" ht="15.75" spans="1:11">
      <c r="A209" s="83"/>
      <c r="B209" s="83"/>
      <c r="C209" s="23"/>
      <c r="D209" s="13" t="s">
        <v>28</v>
      </c>
      <c r="E209" s="14">
        <v>204883</v>
      </c>
      <c r="F209" s="42">
        <v>968865</v>
      </c>
      <c r="G209" s="16">
        <f t="shared" si="6"/>
        <v>4.87505781105</v>
      </c>
      <c r="H209" s="43">
        <v>3.94614627328473</v>
      </c>
      <c r="I209" s="16">
        <f t="shared" si="7"/>
        <v>8.82120408433473</v>
      </c>
      <c r="K209" s="53"/>
    </row>
    <row r="210" ht="15.75" spans="1:11">
      <c r="A210" s="83"/>
      <c r="B210" s="83"/>
      <c r="C210" s="12" t="s">
        <v>162</v>
      </c>
      <c r="D210" s="13" t="s">
        <v>171</v>
      </c>
      <c r="E210" s="14">
        <v>96894</v>
      </c>
      <c r="F210" s="42">
        <v>126401</v>
      </c>
      <c r="G210" s="16">
        <f t="shared" si="6"/>
        <v>2.3055297489</v>
      </c>
      <c r="H210" s="43">
        <v>2.05669395001191</v>
      </c>
      <c r="I210" s="16">
        <f t="shared" si="7"/>
        <v>4.36222369891191</v>
      </c>
      <c r="K210" s="53"/>
    </row>
    <row r="211" ht="15.75" spans="1:11">
      <c r="A211" s="83"/>
      <c r="B211" s="83"/>
      <c r="C211" s="17"/>
      <c r="D211" s="13" t="s">
        <v>173</v>
      </c>
      <c r="E211" s="14">
        <v>176816</v>
      </c>
      <c r="F211" s="42">
        <v>120296</v>
      </c>
      <c r="G211" s="16">
        <f t="shared" si="6"/>
        <v>4.2072217896</v>
      </c>
      <c r="H211" s="43">
        <v>2.92993710880365</v>
      </c>
      <c r="I211" s="16">
        <f t="shared" si="7"/>
        <v>7.13715889840365</v>
      </c>
      <c r="K211" s="53"/>
    </row>
    <row r="212" ht="15.75" spans="1:11">
      <c r="A212" s="83"/>
      <c r="B212" s="83"/>
      <c r="C212" s="17"/>
      <c r="D212" s="13" t="s">
        <v>169</v>
      </c>
      <c r="E212" s="14">
        <v>145708</v>
      </c>
      <c r="F212" s="42">
        <v>614987</v>
      </c>
      <c r="G212" s="16">
        <f t="shared" si="6"/>
        <v>3.4670271498</v>
      </c>
      <c r="H212" s="43">
        <v>3.64680550272575</v>
      </c>
      <c r="I212" s="16">
        <f t="shared" si="7"/>
        <v>7.11383265252575</v>
      </c>
      <c r="K212" s="53"/>
    </row>
    <row r="213" ht="15.75" spans="1:11">
      <c r="A213" s="83"/>
      <c r="B213" s="83"/>
      <c r="C213" s="17"/>
      <c r="D213" s="13" t="s">
        <v>170</v>
      </c>
      <c r="E213" s="14">
        <v>72297</v>
      </c>
      <c r="F213" s="42">
        <v>788861</v>
      </c>
      <c r="G213" s="16">
        <f t="shared" si="6"/>
        <v>1.72026012195</v>
      </c>
      <c r="H213" s="43">
        <v>3.0021673017619</v>
      </c>
      <c r="I213" s="16">
        <f t="shared" si="7"/>
        <v>4.7224274237119</v>
      </c>
      <c r="K213" s="53"/>
    </row>
    <row r="214" ht="15.75" spans="1:11">
      <c r="A214" s="83"/>
      <c r="B214" s="83"/>
      <c r="C214" s="17"/>
      <c r="D214" s="13" t="s">
        <v>167</v>
      </c>
      <c r="E214" s="14">
        <v>147186</v>
      </c>
      <c r="F214" s="42">
        <v>281866</v>
      </c>
      <c r="G214" s="16">
        <f t="shared" si="6"/>
        <v>3.5021951991</v>
      </c>
      <c r="H214" s="43">
        <v>3.0787552386566</v>
      </c>
      <c r="I214" s="16">
        <f t="shared" si="7"/>
        <v>6.5809504377566</v>
      </c>
      <c r="K214" s="53"/>
    </row>
    <row r="215" ht="15.75" spans="1:11">
      <c r="A215" s="83"/>
      <c r="B215" s="83"/>
      <c r="C215" s="17"/>
      <c r="D215" s="13" t="s">
        <v>166</v>
      </c>
      <c r="E215" s="14">
        <v>169336</v>
      </c>
      <c r="F215" s="42">
        <v>170099</v>
      </c>
      <c r="G215" s="16">
        <f t="shared" si="6"/>
        <v>4.0292400516</v>
      </c>
      <c r="H215" s="43">
        <v>4.37008328891522</v>
      </c>
      <c r="I215" s="16">
        <f t="shared" si="7"/>
        <v>8.39932334051522</v>
      </c>
      <c r="K215" s="53"/>
    </row>
    <row r="216" ht="15.75" spans="1:11">
      <c r="A216" s="83"/>
      <c r="B216" s="83"/>
      <c r="C216" s="17"/>
      <c r="D216" s="13" t="s">
        <v>168</v>
      </c>
      <c r="E216" s="14">
        <v>71</v>
      </c>
      <c r="F216" s="42">
        <v>64</v>
      </c>
      <c r="G216" s="16">
        <f t="shared" ref="G216:G270" si="8">E216*(65.19*365)/POWER(10,9)</f>
        <v>0.00168939885</v>
      </c>
      <c r="H216" s="43">
        <v>0.00083452130802</v>
      </c>
      <c r="I216" s="16">
        <f t="shared" si="7"/>
        <v>0.00252392015802</v>
      </c>
      <c r="K216" s="53"/>
    </row>
    <row r="217" ht="15.75" spans="1:11">
      <c r="A217" s="83"/>
      <c r="B217" s="83"/>
      <c r="C217" s="17"/>
      <c r="D217" s="13" t="s">
        <v>172</v>
      </c>
      <c r="E217" s="14">
        <v>72916</v>
      </c>
      <c r="F217" s="42">
        <v>75101</v>
      </c>
      <c r="G217" s="16">
        <f t="shared" si="8"/>
        <v>1.7349888246</v>
      </c>
      <c r="H217" s="43">
        <v>1.14631711261815</v>
      </c>
      <c r="I217" s="16">
        <f t="shared" si="7"/>
        <v>2.88130593721815</v>
      </c>
      <c r="K217" s="53"/>
    </row>
    <row r="218" ht="15.75" spans="1:11">
      <c r="A218" s="84"/>
      <c r="B218" s="84"/>
      <c r="C218" s="21"/>
      <c r="D218" s="13" t="s">
        <v>162</v>
      </c>
      <c r="E218" s="14">
        <v>132842</v>
      </c>
      <c r="F218" s="42">
        <v>484537</v>
      </c>
      <c r="G218" s="16">
        <f t="shared" si="8"/>
        <v>3.1608890427</v>
      </c>
      <c r="H218" s="43">
        <v>4.80442133517857</v>
      </c>
      <c r="I218" s="16">
        <f t="shared" si="7"/>
        <v>7.96531037787857</v>
      </c>
      <c r="K218" s="53"/>
    </row>
    <row r="219" ht="15.75" spans="1:11">
      <c r="A219" s="71">
        <v>5</v>
      </c>
      <c r="B219" s="70">
        <v>2021</v>
      </c>
      <c r="C219" s="11" t="s">
        <v>78</v>
      </c>
      <c r="D219" s="13" t="s">
        <v>78</v>
      </c>
      <c r="E219" s="14">
        <v>94090</v>
      </c>
      <c r="F219" s="42">
        <v>48184</v>
      </c>
      <c r="G219" s="16">
        <f t="shared" si="8"/>
        <v>2.2388103915</v>
      </c>
      <c r="H219" s="43">
        <v>1.60431754553571</v>
      </c>
      <c r="I219" s="16">
        <f t="shared" si="7"/>
        <v>3.84312793703571</v>
      </c>
      <c r="K219" s="53"/>
    </row>
    <row r="220" ht="15.75" spans="1:11">
      <c r="A220" s="71"/>
      <c r="B220" s="83"/>
      <c r="C220" s="22"/>
      <c r="D220" s="13" t="s">
        <v>180</v>
      </c>
      <c r="E220" s="14">
        <v>166567</v>
      </c>
      <c r="F220" s="42">
        <v>127972</v>
      </c>
      <c r="G220" s="16">
        <f t="shared" si="8"/>
        <v>3.96335349645</v>
      </c>
      <c r="H220" s="43">
        <v>2.46890448289388</v>
      </c>
      <c r="I220" s="16">
        <f t="shared" si="7"/>
        <v>6.43225797934388</v>
      </c>
      <c r="K220" s="53"/>
    </row>
    <row r="221" ht="15.75" spans="1:11">
      <c r="A221" s="71"/>
      <c r="B221" s="83"/>
      <c r="C221" s="22"/>
      <c r="D221" s="13" t="s">
        <v>179</v>
      </c>
      <c r="E221" s="14">
        <v>213702</v>
      </c>
      <c r="F221" s="42">
        <v>947210</v>
      </c>
      <c r="G221" s="16">
        <f t="shared" si="8"/>
        <v>5.0849001837</v>
      </c>
      <c r="H221" s="43">
        <v>4.3801147720789</v>
      </c>
      <c r="I221" s="16">
        <f t="shared" si="7"/>
        <v>9.4650149557789</v>
      </c>
      <c r="K221" s="53"/>
    </row>
    <row r="222" ht="15.75" spans="1:11">
      <c r="A222" s="71"/>
      <c r="B222" s="83"/>
      <c r="C222" s="22"/>
      <c r="D222" s="13" t="s">
        <v>178</v>
      </c>
      <c r="E222" s="14">
        <v>158565</v>
      </c>
      <c r="F222" s="42">
        <v>354380</v>
      </c>
      <c r="G222" s="16">
        <f t="shared" si="8"/>
        <v>3.77295110775</v>
      </c>
      <c r="H222" s="43">
        <v>3.81075337821429</v>
      </c>
      <c r="I222" s="16">
        <f t="shared" si="7"/>
        <v>7.58370448596429</v>
      </c>
      <c r="K222" s="53"/>
    </row>
    <row r="223" ht="15.75" spans="1:11">
      <c r="A223" s="71"/>
      <c r="B223" s="83"/>
      <c r="C223" s="23"/>
      <c r="D223" s="13" t="s">
        <v>66</v>
      </c>
      <c r="E223" s="14">
        <v>114687</v>
      </c>
      <c r="F223" s="42">
        <v>109175</v>
      </c>
      <c r="G223" s="16">
        <f t="shared" si="8"/>
        <v>2.72890261845</v>
      </c>
      <c r="H223" s="43">
        <v>2.00157588592351</v>
      </c>
      <c r="I223" s="16">
        <f t="shared" si="7"/>
        <v>4.73047850437351</v>
      </c>
      <c r="K223" s="53"/>
    </row>
    <row r="224" ht="15.75" spans="1:11">
      <c r="A224" s="71"/>
      <c r="B224" s="83"/>
      <c r="C224" s="11" t="s">
        <v>33</v>
      </c>
      <c r="D224" s="13" t="s">
        <v>33</v>
      </c>
      <c r="E224" s="14">
        <v>138229</v>
      </c>
      <c r="F224" s="42">
        <v>98033</v>
      </c>
      <c r="G224" s="16">
        <f t="shared" si="8"/>
        <v>3.28906920615</v>
      </c>
      <c r="H224" s="43">
        <v>3.32420676677996</v>
      </c>
      <c r="I224" s="16">
        <f t="shared" si="7"/>
        <v>6.61327597292996</v>
      </c>
      <c r="K224" s="53"/>
    </row>
    <row r="225" ht="15.75" spans="1:11">
      <c r="A225" s="71"/>
      <c r="B225" s="83"/>
      <c r="C225" s="22"/>
      <c r="D225" s="13" t="s">
        <v>161</v>
      </c>
      <c r="E225" s="14">
        <v>138075</v>
      </c>
      <c r="F225" s="42">
        <v>124108</v>
      </c>
      <c r="G225" s="16">
        <f t="shared" si="8"/>
        <v>3.28540487625</v>
      </c>
      <c r="H225" s="43">
        <v>3.65638684821429</v>
      </c>
      <c r="I225" s="16">
        <f t="shared" si="7"/>
        <v>6.94179172446429</v>
      </c>
      <c r="K225" s="53"/>
    </row>
    <row r="226" ht="15.75" spans="1:11">
      <c r="A226" s="71"/>
      <c r="B226" s="83"/>
      <c r="C226" s="22"/>
      <c r="D226" s="13" t="s">
        <v>32</v>
      </c>
      <c r="E226" s="14">
        <v>84180</v>
      </c>
      <c r="F226" s="42">
        <v>52419</v>
      </c>
      <c r="G226" s="16">
        <f t="shared" si="8"/>
        <v>2.003008383</v>
      </c>
      <c r="H226" s="43">
        <v>1.5403786913209</v>
      </c>
      <c r="I226" s="16">
        <f t="shared" si="7"/>
        <v>3.5433870743209</v>
      </c>
      <c r="K226" s="53"/>
    </row>
    <row r="227" ht="15.75" spans="1:11">
      <c r="A227" s="71"/>
      <c r="B227" s="83"/>
      <c r="C227" s="23"/>
      <c r="D227" s="13" t="s">
        <v>160</v>
      </c>
      <c r="E227" s="14">
        <v>184656</v>
      </c>
      <c r="F227" s="42">
        <v>707408</v>
      </c>
      <c r="G227" s="16">
        <f t="shared" si="8"/>
        <v>4.3937694936</v>
      </c>
      <c r="H227" s="43">
        <v>3.91154953607143</v>
      </c>
      <c r="I227" s="16">
        <f t="shared" si="7"/>
        <v>8.30531902967143</v>
      </c>
      <c r="K227" s="53"/>
    </row>
    <row r="228" ht="15.75" spans="1:11">
      <c r="A228" s="71"/>
      <c r="B228" s="83"/>
      <c r="C228" s="12" t="s">
        <v>174</v>
      </c>
      <c r="D228" s="13" t="s">
        <v>174</v>
      </c>
      <c r="E228" s="14">
        <v>222562</v>
      </c>
      <c r="F228" s="42">
        <v>196007</v>
      </c>
      <c r="G228" s="16">
        <f t="shared" si="8"/>
        <v>5.2957181247</v>
      </c>
      <c r="H228" s="43">
        <v>5.61966484303572</v>
      </c>
      <c r="I228" s="16">
        <f t="shared" si="7"/>
        <v>10.9153829677357</v>
      </c>
      <c r="K228" s="53"/>
    </row>
    <row r="229" ht="15.75" spans="1:11">
      <c r="A229" s="71"/>
      <c r="B229" s="83"/>
      <c r="C229" s="17"/>
      <c r="D229" s="13" t="s">
        <v>176</v>
      </c>
      <c r="E229" s="14">
        <v>235762</v>
      </c>
      <c r="F229" s="42">
        <v>153480</v>
      </c>
      <c r="G229" s="16">
        <f t="shared" si="8"/>
        <v>5.6098035447</v>
      </c>
      <c r="H229" s="43">
        <v>5.11876921625</v>
      </c>
      <c r="I229" s="16">
        <f t="shared" si="7"/>
        <v>10.72857276095</v>
      </c>
      <c r="K229" s="53"/>
    </row>
    <row r="230" ht="15.75" spans="1:11">
      <c r="A230" s="71"/>
      <c r="B230" s="83"/>
      <c r="C230" s="21"/>
      <c r="D230" s="13" t="s">
        <v>175</v>
      </c>
      <c r="E230" s="14">
        <v>226129</v>
      </c>
      <c r="F230" s="42">
        <v>138448</v>
      </c>
      <c r="G230" s="16">
        <f t="shared" si="8"/>
        <v>5.38059257115</v>
      </c>
      <c r="H230" s="43">
        <v>4.73550311714286</v>
      </c>
      <c r="I230" s="16">
        <f t="shared" si="7"/>
        <v>10.1160956882929</v>
      </c>
      <c r="K230" s="53"/>
    </row>
    <row r="231" ht="15.75" spans="1:11">
      <c r="A231" s="71"/>
      <c r="B231" s="83"/>
      <c r="C231" s="11" t="s">
        <v>48</v>
      </c>
      <c r="D231" s="13" t="s">
        <v>150</v>
      </c>
      <c r="E231" s="14">
        <v>282253</v>
      </c>
      <c r="F231" s="42">
        <v>147581</v>
      </c>
      <c r="G231" s="16">
        <f t="shared" si="8"/>
        <v>6.71602667055</v>
      </c>
      <c r="H231" s="43">
        <v>4.43554121571429</v>
      </c>
      <c r="I231" s="16">
        <f t="shared" si="7"/>
        <v>11.1515678862643</v>
      </c>
      <c r="K231" s="53"/>
    </row>
    <row r="232" ht="15.75" spans="1:11">
      <c r="A232" s="71"/>
      <c r="B232" s="83"/>
      <c r="C232" s="22"/>
      <c r="D232" s="13" t="s">
        <v>149</v>
      </c>
      <c r="E232" s="14">
        <v>395761</v>
      </c>
      <c r="F232" s="42">
        <v>305304</v>
      </c>
      <c r="G232" s="16">
        <f t="shared" si="8"/>
        <v>9.41687575035</v>
      </c>
      <c r="H232" s="43">
        <v>5.94769168571429</v>
      </c>
      <c r="I232" s="16">
        <f t="shared" si="7"/>
        <v>15.3645674360643</v>
      </c>
      <c r="K232" s="53"/>
    </row>
    <row r="233" ht="15.75" spans="1:11">
      <c r="A233" s="71"/>
      <c r="B233" s="83"/>
      <c r="C233" s="22"/>
      <c r="D233" s="13" t="s">
        <v>147</v>
      </c>
      <c r="E233" s="14">
        <v>291612</v>
      </c>
      <c r="F233" s="42">
        <v>197655</v>
      </c>
      <c r="G233" s="16">
        <f t="shared" si="8"/>
        <v>6.9387179922</v>
      </c>
      <c r="H233" s="43">
        <v>5.14918243714286</v>
      </c>
      <c r="I233" s="16">
        <f t="shared" si="7"/>
        <v>12.0879004293429</v>
      </c>
      <c r="K233" s="53"/>
    </row>
    <row r="234" ht="15.75" spans="1:11">
      <c r="A234" s="71"/>
      <c r="B234" s="83"/>
      <c r="C234" s="23"/>
      <c r="D234" s="13" t="s">
        <v>148</v>
      </c>
      <c r="E234" s="14">
        <v>248484</v>
      </c>
      <c r="F234" s="42">
        <v>643036</v>
      </c>
      <c r="G234" s="16">
        <f t="shared" si="8"/>
        <v>5.9125152654</v>
      </c>
      <c r="H234" s="43">
        <v>5.22443895839286</v>
      </c>
      <c r="I234" s="16">
        <f t="shared" si="7"/>
        <v>11.1369542237929</v>
      </c>
      <c r="K234" s="53"/>
    </row>
    <row r="235" ht="15.75" spans="1:11">
      <c r="A235" s="71"/>
      <c r="B235" s="83"/>
      <c r="C235" s="11" t="s">
        <v>37</v>
      </c>
      <c r="D235" s="13" t="s">
        <v>37</v>
      </c>
      <c r="E235" s="14">
        <v>44640</v>
      </c>
      <c r="F235" s="42">
        <v>101966</v>
      </c>
      <c r="G235" s="16">
        <f t="shared" si="8"/>
        <v>1.062179784</v>
      </c>
      <c r="H235" s="43">
        <v>0.904581429721368</v>
      </c>
      <c r="I235" s="16">
        <f t="shared" si="7"/>
        <v>1.96676121372137</v>
      </c>
      <c r="K235" s="53"/>
    </row>
    <row r="236" ht="15.75" spans="1:11">
      <c r="A236" s="71"/>
      <c r="B236" s="83"/>
      <c r="C236" s="23"/>
      <c r="D236" s="13" t="s">
        <v>39</v>
      </c>
      <c r="E236" s="14">
        <v>50069</v>
      </c>
      <c r="F236" s="42">
        <v>49116</v>
      </c>
      <c r="G236" s="16">
        <f t="shared" si="8"/>
        <v>1.19135931015</v>
      </c>
      <c r="H236" s="43">
        <v>1.62040000396825</v>
      </c>
      <c r="I236" s="16">
        <f t="shared" si="7"/>
        <v>2.81175931411825</v>
      </c>
      <c r="K236" s="53"/>
    </row>
    <row r="237" ht="15.75" spans="1:11">
      <c r="A237" s="71"/>
      <c r="B237" s="83"/>
      <c r="C237" s="11" t="s">
        <v>65</v>
      </c>
      <c r="D237" s="13" t="s">
        <v>181</v>
      </c>
      <c r="E237" s="14">
        <v>274977</v>
      </c>
      <c r="F237" s="42">
        <v>143078</v>
      </c>
      <c r="G237" s="16">
        <f t="shared" si="8"/>
        <v>6.54289897995</v>
      </c>
      <c r="H237" s="43">
        <v>4.75255810714286</v>
      </c>
      <c r="I237" s="16">
        <f t="shared" si="7"/>
        <v>11.2954570870929</v>
      </c>
      <c r="K237" s="53"/>
    </row>
    <row r="238" ht="15.75" spans="1:11">
      <c r="A238" s="71"/>
      <c r="B238" s="83"/>
      <c r="C238" s="22"/>
      <c r="D238" s="13" t="s">
        <v>65</v>
      </c>
      <c r="E238" s="14">
        <v>201253</v>
      </c>
      <c r="F238" s="42">
        <v>350830</v>
      </c>
      <c r="G238" s="16">
        <f t="shared" si="8"/>
        <v>4.78868432055</v>
      </c>
      <c r="H238" s="43">
        <v>2.80877858178571</v>
      </c>
      <c r="I238" s="16">
        <f t="shared" si="7"/>
        <v>7.59746290233571</v>
      </c>
      <c r="K238" s="53"/>
    </row>
    <row r="239" ht="15.75" spans="1:11">
      <c r="A239" s="71"/>
      <c r="B239" s="83"/>
      <c r="C239" s="22"/>
      <c r="D239" s="13" t="s">
        <v>177</v>
      </c>
      <c r="E239" s="14">
        <v>190025</v>
      </c>
      <c r="F239" s="42">
        <v>128217</v>
      </c>
      <c r="G239" s="16">
        <f t="shared" si="8"/>
        <v>4.52152135875</v>
      </c>
      <c r="H239" s="43">
        <v>4.03119688803571</v>
      </c>
      <c r="I239" s="16">
        <f t="shared" si="7"/>
        <v>8.55271824678571</v>
      </c>
      <c r="K239" s="53"/>
    </row>
    <row r="240" ht="15.75" spans="1:11">
      <c r="A240" s="71"/>
      <c r="B240" s="83"/>
      <c r="C240" s="23"/>
      <c r="D240" s="13" t="s">
        <v>182</v>
      </c>
      <c r="E240" s="14">
        <v>234953</v>
      </c>
      <c r="F240" s="42">
        <v>943027</v>
      </c>
      <c r="G240" s="16">
        <f t="shared" si="8"/>
        <v>5.59055391555</v>
      </c>
      <c r="H240" s="43">
        <v>4.30875624964286</v>
      </c>
      <c r="I240" s="16">
        <f t="shared" si="7"/>
        <v>9.89931016519286</v>
      </c>
      <c r="K240" s="53"/>
    </row>
    <row r="241" ht="15.75" spans="1:11">
      <c r="A241" s="71"/>
      <c r="B241" s="83"/>
      <c r="C241" s="12" t="s">
        <v>185</v>
      </c>
      <c r="D241" s="13" t="s">
        <v>151</v>
      </c>
      <c r="E241" s="14">
        <v>194196</v>
      </c>
      <c r="F241" s="42">
        <v>91394</v>
      </c>
      <c r="G241" s="16">
        <f t="shared" si="8"/>
        <v>4.6207675926</v>
      </c>
      <c r="H241" s="43">
        <v>2.2284396409812</v>
      </c>
      <c r="I241" s="16">
        <f t="shared" si="7"/>
        <v>6.8492072335812</v>
      </c>
      <c r="K241" s="53"/>
    </row>
    <row r="242" ht="15.75" spans="1:11">
      <c r="A242" s="71"/>
      <c r="B242" s="83"/>
      <c r="C242" s="21"/>
      <c r="D242" s="13" t="s">
        <v>152</v>
      </c>
      <c r="E242" s="14">
        <v>15108</v>
      </c>
      <c r="F242" s="42">
        <v>18472</v>
      </c>
      <c r="G242" s="16">
        <f t="shared" si="8"/>
        <v>0.3594850398</v>
      </c>
      <c r="H242" s="43">
        <v>0.188743839089464</v>
      </c>
      <c r="I242" s="16">
        <f t="shared" si="7"/>
        <v>0.548228878889464</v>
      </c>
      <c r="K242" s="53"/>
    </row>
    <row r="243" ht="15.75" spans="1:11">
      <c r="A243" s="71"/>
      <c r="B243" s="83"/>
      <c r="C243" s="11" t="s">
        <v>95</v>
      </c>
      <c r="D243" s="13" t="s">
        <v>57</v>
      </c>
      <c r="E243" s="14">
        <v>106072</v>
      </c>
      <c r="F243" s="42">
        <v>48568</v>
      </c>
      <c r="G243" s="16">
        <f t="shared" si="8"/>
        <v>2.5239142932</v>
      </c>
      <c r="H243" s="43">
        <v>1.51473275915774</v>
      </c>
      <c r="I243" s="16">
        <f t="shared" ref="I243:I270" si="9">G243+H243</f>
        <v>4.03864705235774</v>
      </c>
      <c r="K243" s="53"/>
    </row>
    <row r="244" ht="15.75" spans="1:11">
      <c r="A244" s="71"/>
      <c r="B244" s="83"/>
      <c r="C244" s="22"/>
      <c r="D244" s="13" t="s">
        <v>77</v>
      </c>
      <c r="E244" s="14">
        <v>38394</v>
      </c>
      <c r="F244" s="42">
        <v>18860</v>
      </c>
      <c r="G244" s="16">
        <f t="shared" si="8"/>
        <v>0.9135602739</v>
      </c>
      <c r="H244" s="43">
        <v>0.3222243711495</v>
      </c>
      <c r="I244" s="16">
        <f t="shared" si="9"/>
        <v>1.2357846450495</v>
      </c>
      <c r="K244" s="53"/>
    </row>
    <row r="245" ht="15.75" spans="1:11">
      <c r="A245" s="71"/>
      <c r="B245" s="83"/>
      <c r="C245" s="23"/>
      <c r="D245" s="13" t="s">
        <v>52</v>
      </c>
      <c r="E245" s="14">
        <v>87487</v>
      </c>
      <c r="F245" s="42">
        <v>43115</v>
      </c>
      <c r="G245" s="16">
        <f t="shared" si="8"/>
        <v>2.08169629845</v>
      </c>
      <c r="H245" s="43">
        <v>1.03723800153856</v>
      </c>
      <c r="I245" s="16">
        <f t="shared" si="9"/>
        <v>3.11893429998856</v>
      </c>
      <c r="K245" s="53"/>
    </row>
    <row r="246" ht="15.75" spans="1:11">
      <c r="A246" s="71"/>
      <c r="B246" s="83"/>
      <c r="C246" s="12" t="s">
        <v>184</v>
      </c>
      <c r="D246" s="13" t="s">
        <v>164</v>
      </c>
      <c r="E246" s="14">
        <v>286570</v>
      </c>
      <c r="F246" s="42">
        <v>119864</v>
      </c>
      <c r="G246" s="16">
        <f t="shared" si="8"/>
        <v>6.8187468795</v>
      </c>
      <c r="H246" s="43">
        <v>3.44088060627648</v>
      </c>
      <c r="I246" s="16">
        <f t="shared" si="9"/>
        <v>10.2596274857765</v>
      </c>
      <c r="K246" s="53"/>
    </row>
    <row r="247" ht="15.75" spans="1:11">
      <c r="A247" s="71"/>
      <c r="B247" s="83"/>
      <c r="C247" s="17"/>
      <c r="D247" s="13" t="s">
        <v>163</v>
      </c>
      <c r="E247" s="14">
        <v>120265</v>
      </c>
      <c r="F247" s="42">
        <v>99576</v>
      </c>
      <c r="G247" s="16">
        <f t="shared" si="8"/>
        <v>2.86162750275</v>
      </c>
      <c r="H247" s="43">
        <v>3.46708633767857</v>
      </c>
      <c r="I247" s="16">
        <f t="shared" si="9"/>
        <v>6.32871384042857</v>
      </c>
      <c r="K247" s="53"/>
    </row>
    <row r="248" ht="15.75" spans="1:11">
      <c r="A248" s="71"/>
      <c r="B248" s="83"/>
      <c r="C248" s="17"/>
      <c r="D248" s="13" t="s">
        <v>158</v>
      </c>
      <c r="E248" s="14">
        <v>254910</v>
      </c>
      <c r="F248" s="42">
        <v>144158</v>
      </c>
      <c r="G248" s="16">
        <f t="shared" si="8"/>
        <v>6.0654177585</v>
      </c>
      <c r="H248" s="43">
        <v>4.49071756416421</v>
      </c>
      <c r="I248" s="16">
        <f t="shared" si="9"/>
        <v>10.5561353226642</v>
      </c>
      <c r="K248" s="53"/>
    </row>
    <row r="249" ht="15.75" spans="1:11">
      <c r="A249" s="71"/>
      <c r="B249" s="83"/>
      <c r="C249" s="21"/>
      <c r="D249" s="13" t="s">
        <v>165</v>
      </c>
      <c r="E249" s="14">
        <v>148947</v>
      </c>
      <c r="F249" s="42">
        <v>210638</v>
      </c>
      <c r="G249" s="16">
        <f t="shared" si="8"/>
        <v>3.54409704945</v>
      </c>
      <c r="H249" s="43">
        <v>3.18147538892857</v>
      </c>
      <c r="I249" s="16">
        <f t="shared" si="9"/>
        <v>6.72557243837857</v>
      </c>
      <c r="K249" s="53"/>
    </row>
    <row r="250" ht="15.75" spans="1:11">
      <c r="A250" s="71"/>
      <c r="B250" s="83"/>
      <c r="C250" s="11" t="s">
        <v>71</v>
      </c>
      <c r="D250" s="151" t="s">
        <v>70</v>
      </c>
      <c r="E250" s="44">
        <v>8169</v>
      </c>
      <c r="F250" s="42">
        <v>15808</v>
      </c>
      <c r="G250" s="16">
        <f t="shared" si="8"/>
        <v>0.19437604515</v>
      </c>
      <c r="H250" s="43">
        <v>0.149209151887532</v>
      </c>
      <c r="I250" s="16">
        <f t="shared" si="9"/>
        <v>0.343585197037532</v>
      </c>
      <c r="K250" s="53"/>
    </row>
    <row r="251" ht="15.75" spans="1:11">
      <c r="A251" s="71"/>
      <c r="B251" s="83"/>
      <c r="C251" s="22"/>
      <c r="D251" s="151" t="s">
        <v>73</v>
      </c>
      <c r="E251" s="44">
        <v>3746</v>
      </c>
      <c r="F251" s="42">
        <v>8936</v>
      </c>
      <c r="G251" s="16">
        <f t="shared" si="8"/>
        <v>0.0891336351</v>
      </c>
      <c r="H251" s="43">
        <v>0.10608261007985</v>
      </c>
      <c r="I251" s="16">
        <f t="shared" si="9"/>
        <v>0.19521624517985</v>
      </c>
      <c r="K251" s="53"/>
    </row>
    <row r="252" ht="15.75" spans="1:11">
      <c r="A252" s="71"/>
      <c r="B252" s="83"/>
      <c r="C252" s="23"/>
      <c r="D252" s="151" t="s">
        <v>183</v>
      </c>
      <c r="E252" s="44">
        <v>347</v>
      </c>
      <c r="F252" s="42">
        <v>364</v>
      </c>
      <c r="G252" s="16">
        <f t="shared" si="8"/>
        <v>0.00825663945</v>
      </c>
      <c r="H252" s="43">
        <v>0.00482663707217143</v>
      </c>
      <c r="I252" s="16">
        <f t="shared" si="9"/>
        <v>0.0130832765221714</v>
      </c>
      <c r="K252" s="53"/>
    </row>
    <row r="253" ht="15.75" spans="1:11">
      <c r="A253" s="71"/>
      <c r="B253" s="83"/>
      <c r="C253" s="11" t="s">
        <v>58</v>
      </c>
      <c r="D253" s="13" t="s">
        <v>156</v>
      </c>
      <c r="E253" s="14">
        <v>1141</v>
      </c>
      <c r="F253" s="42">
        <v>887</v>
      </c>
      <c r="G253" s="16">
        <f t="shared" si="8"/>
        <v>0.02714935335</v>
      </c>
      <c r="H253" s="43">
        <v>0.0282850178151536</v>
      </c>
      <c r="I253" s="16">
        <f t="shared" si="9"/>
        <v>0.0554343711651536</v>
      </c>
      <c r="K253" s="53"/>
    </row>
    <row r="254" ht="15.75" spans="1:11">
      <c r="A254" s="71"/>
      <c r="B254" s="83"/>
      <c r="C254" s="23"/>
      <c r="D254" s="13" t="s">
        <v>157</v>
      </c>
      <c r="E254" s="14">
        <v>104201</v>
      </c>
      <c r="F254" s="42">
        <v>120126</v>
      </c>
      <c r="G254" s="16">
        <f t="shared" si="8"/>
        <v>2.47939506435</v>
      </c>
      <c r="H254" s="43">
        <v>2.59416811215628</v>
      </c>
      <c r="I254" s="16">
        <f t="shared" si="9"/>
        <v>5.07356317650628</v>
      </c>
      <c r="K254" s="53"/>
    </row>
    <row r="255" ht="15.75" spans="1:11">
      <c r="A255" s="71"/>
      <c r="B255" s="83"/>
      <c r="C255" s="11" t="s">
        <v>153</v>
      </c>
      <c r="D255" s="13" t="s">
        <v>155</v>
      </c>
      <c r="E255" s="14">
        <v>477041</v>
      </c>
      <c r="F255" s="42">
        <v>150199</v>
      </c>
      <c r="G255" s="16">
        <f t="shared" si="8"/>
        <v>11.35088051835</v>
      </c>
      <c r="H255" s="43">
        <v>4.61674551570886</v>
      </c>
      <c r="I255" s="16">
        <f t="shared" si="9"/>
        <v>15.9676260340589</v>
      </c>
      <c r="K255" s="53"/>
    </row>
    <row r="256" ht="15.75" spans="1:11">
      <c r="A256" s="71"/>
      <c r="B256" s="83"/>
      <c r="C256" s="22"/>
      <c r="D256" s="13" t="s">
        <v>153</v>
      </c>
      <c r="E256" s="14">
        <v>179717</v>
      </c>
      <c r="F256" s="42">
        <v>155312</v>
      </c>
      <c r="G256" s="16">
        <f t="shared" si="8"/>
        <v>4.27624919895</v>
      </c>
      <c r="H256" s="43">
        <v>4.35829736071429</v>
      </c>
      <c r="I256" s="16">
        <f t="shared" si="9"/>
        <v>8.63454655966429</v>
      </c>
      <c r="K256" s="53"/>
    </row>
    <row r="257" ht="15.75" spans="1:11">
      <c r="A257" s="71"/>
      <c r="B257" s="83"/>
      <c r="C257" s="23"/>
      <c r="D257" s="13" t="s">
        <v>154</v>
      </c>
      <c r="E257" s="14">
        <v>151758</v>
      </c>
      <c r="F257" s="42">
        <v>100448</v>
      </c>
      <c r="G257" s="16">
        <f t="shared" si="8"/>
        <v>3.6109829673</v>
      </c>
      <c r="H257" s="43">
        <v>3.35572594571429</v>
      </c>
      <c r="I257" s="16">
        <f t="shared" si="9"/>
        <v>6.96670891301429</v>
      </c>
      <c r="K257" s="53"/>
    </row>
    <row r="258" ht="15.75" spans="1:11">
      <c r="A258" s="71"/>
      <c r="B258" s="83"/>
      <c r="C258" s="11" t="s">
        <v>27</v>
      </c>
      <c r="D258" s="13" t="s">
        <v>31</v>
      </c>
      <c r="E258" s="14">
        <v>111106</v>
      </c>
      <c r="F258" s="42">
        <v>122957</v>
      </c>
      <c r="G258" s="16">
        <f t="shared" si="8"/>
        <v>2.6436950511</v>
      </c>
      <c r="H258" s="43">
        <v>1.92503121844332</v>
      </c>
      <c r="I258" s="16">
        <f t="shared" si="9"/>
        <v>4.56872626954332</v>
      </c>
      <c r="K258" s="53"/>
    </row>
    <row r="259" ht="15.75" spans="1:11">
      <c r="A259" s="71"/>
      <c r="B259" s="83"/>
      <c r="C259" s="22"/>
      <c r="D259" s="13" t="s">
        <v>30</v>
      </c>
      <c r="E259" s="14">
        <v>112769</v>
      </c>
      <c r="F259" s="42">
        <v>200510</v>
      </c>
      <c r="G259" s="16">
        <f t="shared" si="8"/>
        <v>2.68326505515</v>
      </c>
      <c r="H259" s="43">
        <v>1.92390531289674</v>
      </c>
      <c r="I259" s="16">
        <f t="shared" si="9"/>
        <v>4.60717036804674</v>
      </c>
      <c r="K259" s="53"/>
    </row>
    <row r="260" ht="15.75" spans="1:11">
      <c r="A260" s="71"/>
      <c r="B260" s="83"/>
      <c r="C260" s="22"/>
      <c r="D260" s="13" t="s">
        <v>159</v>
      </c>
      <c r="E260" s="14">
        <v>215054</v>
      </c>
      <c r="F260" s="42">
        <v>1234455</v>
      </c>
      <c r="G260" s="16">
        <f t="shared" si="8"/>
        <v>5.1170701449</v>
      </c>
      <c r="H260" s="43">
        <v>2.48295205035714</v>
      </c>
      <c r="I260" s="16">
        <f t="shared" si="9"/>
        <v>7.60002219525714</v>
      </c>
      <c r="K260" s="53"/>
    </row>
    <row r="261" ht="15.75" spans="1:11">
      <c r="A261" s="71"/>
      <c r="B261" s="83"/>
      <c r="C261" s="23"/>
      <c r="D261" s="13" t="s">
        <v>28</v>
      </c>
      <c r="E261" s="14">
        <v>221650</v>
      </c>
      <c r="F261" s="42">
        <v>812872</v>
      </c>
      <c r="G261" s="16">
        <f t="shared" si="8"/>
        <v>5.2740176775</v>
      </c>
      <c r="H261" s="43">
        <v>3.25156817296024</v>
      </c>
      <c r="I261" s="16">
        <f t="shared" si="9"/>
        <v>8.52558585046024</v>
      </c>
      <c r="K261" s="53"/>
    </row>
    <row r="262" ht="15.75" spans="1:11">
      <c r="A262" s="71"/>
      <c r="B262" s="83"/>
      <c r="C262" s="12" t="s">
        <v>162</v>
      </c>
      <c r="D262" s="13" t="s">
        <v>171</v>
      </c>
      <c r="E262" s="14">
        <v>113139</v>
      </c>
      <c r="F262" s="42">
        <v>129050</v>
      </c>
      <c r="G262" s="16">
        <f t="shared" si="8"/>
        <v>2.69206896465</v>
      </c>
      <c r="H262" s="43">
        <v>2.01402255</v>
      </c>
      <c r="I262" s="16">
        <f t="shared" si="9"/>
        <v>4.70609151465</v>
      </c>
      <c r="K262" s="53"/>
    </row>
    <row r="263" ht="15.75" spans="1:11">
      <c r="A263" s="71"/>
      <c r="B263" s="83"/>
      <c r="C263" s="17"/>
      <c r="D263" s="13" t="s">
        <v>173</v>
      </c>
      <c r="E263" s="14">
        <v>206460</v>
      </c>
      <c r="F263" s="42">
        <v>105870</v>
      </c>
      <c r="G263" s="16">
        <f t="shared" si="8"/>
        <v>4.912581501</v>
      </c>
      <c r="H263" s="43">
        <v>3.40705118322405</v>
      </c>
      <c r="I263" s="16">
        <f t="shared" si="9"/>
        <v>8.31963268422405</v>
      </c>
      <c r="K263" s="53"/>
    </row>
    <row r="264" ht="15.75" spans="1:11">
      <c r="A264" s="71"/>
      <c r="B264" s="83"/>
      <c r="C264" s="17"/>
      <c r="D264" s="13" t="s">
        <v>169</v>
      </c>
      <c r="E264" s="14">
        <v>170137</v>
      </c>
      <c r="F264" s="42">
        <v>111386</v>
      </c>
      <c r="G264" s="16">
        <f t="shared" si="8"/>
        <v>4.04829932595</v>
      </c>
      <c r="H264" s="43">
        <v>3.83474383669491</v>
      </c>
      <c r="I264" s="16">
        <f t="shared" si="9"/>
        <v>7.88304316264491</v>
      </c>
      <c r="K264" s="53"/>
    </row>
    <row r="265" ht="15.75" spans="1:11">
      <c r="A265" s="71"/>
      <c r="B265" s="83"/>
      <c r="C265" s="17"/>
      <c r="D265" s="13" t="s">
        <v>170</v>
      </c>
      <c r="E265" s="14">
        <v>84418</v>
      </c>
      <c r="F265" s="42">
        <v>1607302</v>
      </c>
      <c r="G265" s="16">
        <f t="shared" si="8"/>
        <v>2.0086714383</v>
      </c>
      <c r="H265" s="43">
        <v>2.70716954285714</v>
      </c>
      <c r="I265" s="16">
        <f t="shared" si="9"/>
        <v>4.71584098115714</v>
      </c>
      <c r="K265" s="53"/>
    </row>
    <row r="266" ht="15.75" spans="1:11">
      <c r="A266" s="71"/>
      <c r="B266" s="83"/>
      <c r="C266" s="17"/>
      <c r="D266" s="13" t="s">
        <v>167</v>
      </c>
      <c r="E266" s="14">
        <v>171862</v>
      </c>
      <c r="F266" s="42">
        <v>231184</v>
      </c>
      <c r="G266" s="16">
        <f t="shared" si="8"/>
        <v>4.0893445797</v>
      </c>
      <c r="H266" s="43">
        <v>3.55261655402669</v>
      </c>
      <c r="I266" s="16">
        <f t="shared" si="9"/>
        <v>7.64196113372669</v>
      </c>
      <c r="K266" s="53"/>
    </row>
    <row r="267" ht="15.75" spans="1:11">
      <c r="A267" s="71"/>
      <c r="B267" s="83"/>
      <c r="C267" s="17"/>
      <c r="D267" s="13" t="s">
        <v>166</v>
      </c>
      <c r="E267" s="14">
        <v>197726</v>
      </c>
      <c r="F267" s="42">
        <v>142082</v>
      </c>
      <c r="G267" s="16">
        <f t="shared" si="8"/>
        <v>4.7047616481</v>
      </c>
      <c r="H267" s="43">
        <v>4.77612872932706</v>
      </c>
      <c r="I267" s="16">
        <f t="shared" si="9"/>
        <v>9.48089037742706</v>
      </c>
      <c r="K267" s="53"/>
    </row>
    <row r="268" ht="15.75" spans="1:11">
      <c r="A268" s="71"/>
      <c r="B268" s="83"/>
      <c r="C268" s="17"/>
      <c r="D268" s="13" t="s">
        <v>168</v>
      </c>
      <c r="E268" s="14">
        <v>83</v>
      </c>
      <c r="F268" s="42">
        <v>54</v>
      </c>
      <c r="G268" s="16">
        <f t="shared" si="8"/>
        <v>0.00197493105</v>
      </c>
      <c r="H268" s="43">
        <v>0.000883946730985714</v>
      </c>
      <c r="I268" s="16">
        <f t="shared" si="9"/>
        <v>0.00285887778098571</v>
      </c>
      <c r="K268" s="53"/>
    </row>
    <row r="269" ht="15.75" spans="1:11">
      <c r="A269" s="71"/>
      <c r="B269" s="83"/>
      <c r="C269" s="17"/>
      <c r="D269" s="13" t="s">
        <v>172</v>
      </c>
      <c r="E269" s="14">
        <v>85141</v>
      </c>
      <c r="F269" s="42">
        <v>71471</v>
      </c>
      <c r="G269" s="16">
        <f t="shared" si="8"/>
        <v>2.02587475335</v>
      </c>
      <c r="H269" s="43">
        <v>1.12296317926238</v>
      </c>
      <c r="I269" s="16">
        <f t="shared" si="9"/>
        <v>3.14883793261238</v>
      </c>
      <c r="K269" s="53"/>
    </row>
    <row r="270" ht="15.75" spans="1:11">
      <c r="A270" s="71"/>
      <c r="B270" s="84"/>
      <c r="C270" s="21"/>
      <c r="D270" s="13" t="s">
        <v>162</v>
      </c>
      <c r="E270" s="14">
        <v>155113</v>
      </c>
      <c r="F270" s="42">
        <v>405404</v>
      </c>
      <c r="G270" s="16">
        <f t="shared" si="8"/>
        <v>3.69081301155</v>
      </c>
      <c r="H270" s="43">
        <v>4.69258789017857</v>
      </c>
      <c r="I270" s="16">
        <f t="shared" si="9"/>
        <v>8.38340090172857</v>
      </c>
      <c r="K270" s="53"/>
    </row>
    <row r="272" ht="15.75" spans="1:9">
      <c r="A272" s="4" t="s">
        <v>81</v>
      </c>
      <c r="B272" s="68"/>
      <c r="C272" s="145"/>
      <c r="D272" s="33"/>
      <c r="E272" s="33"/>
      <c r="F272" s="34"/>
      <c r="G272" s="8" t="s">
        <v>8</v>
      </c>
      <c r="H272" s="8"/>
      <c r="I272" s="8"/>
    </row>
    <row r="273" ht="47.25" spans="1:9">
      <c r="A273" s="35" t="s">
        <v>103</v>
      </c>
      <c r="B273" s="35" t="s">
        <v>10</v>
      </c>
      <c r="C273" s="35" t="s">
        <v>11</v>
      </c>
      <c r="D273" s="35" t="s">
        <v>83</v>
      </c>
      <c r="E273" s="35" t="s">
        <v>13</v>
      </c>
      <c r="F273" s="35" t="s">
        <v>84</v>
      </c>
      <c r="G273" s="35" t="s">
        <v>15</v>
      </c>
      <c r="H273" s="183" t="s">
        <v>16</v>
      </c>
      <c r="I273" s="35" t="s">
        <v>17</v>
      </c>
    </row>
    <row r="274" ht="15.75" spans="1:9">
      <c r="A274" s="9" t="s">
        <v>18</v>
      </c>
      <c r="B274" s="10" t="s">
        <v>19</v>
      </c>
      <c r="C274" s="9" t="s">
        <v>20</v>
      </c>
      <c r="D274" s="10" t="s">
        <v>21</v>
      </c>
      <c r="E274" s="10" t="s">
        <v>22</v>
      </c>
      <c r="F274" s="10" t="s">
        <v>23</v>
      </c>
      <c r="G274" s="10" t="s">
        <v>24</v>
      </c>
      <c r="H274" s="153" t="s">
        <v>25</v>
      </c>
      <c r="I274" s="10" t="s">
        <v>26</v>
      </c>
    </row>
    <row r="275" ht="15.75" spans="1:9">
      <c r="A275" s="71">
        <v>1</v>
      </c>
      <c r="B275" s="71">
        <v>1981</v>
      </c>
      <c r="C275" s="10" t="s">
        <v>48</v>
      </c>
      <c r="D275" s="13" t="s">
        <v>148</v>
      </c>
      <c r="E275" s="15">
        <v>11858</v>
      </c>
      <c r="F275" s="15" t="s">
        <v>29</v>
      </c>
      <c r="G275" s="20">
        <f t="shared" ref="G275:G338" si="10">E275*162*365/POWER(10,9)</f>
        <v>0.70116354</v>
      </c>
      <c r="H275" s="15" t="s">
        <v>29</v>
      </c>
      <c r="I275" s="43">
        <f t="shared" ref="I275:I336" si="11">G275</f>
        <v>0.70116354</v>
      </c>
    </row>
    <row r="276" ht="29.25" customHeight="1" spans="1:9">
      <c r="A276" s="71"/>
      <c r="B276" s="71"/>
      <c r="C276" s="10"/>
      <c r="D276" s="13" t="s">
        <v>186</v>
      </c>
      <c r="E276" s="15">
        <v>13140</v>
      </c>
      <c r="F276" s="15" t="s">
        <v>29</v>
      </c>
      <c r="G276" s="20">
        <f t="shared" si="10"/>
        <v>0.7769682</v>
      </c>
      <c r="H276" s="15" t="s">
        <v>29</v>
      </c>
      <c r="I276" s="43">
        <f t="shared" si="11"/>
        <v>0.7769682</v>
      </c>
    </row>
    <row r="277" ht="32.25" customHeight="1" spans="1:9">
      <c r="A277" s="71"/>
      <c r="B277" s="71"/>
      <c r="C277" s="10"/>
      <c r="D277" s="13" t="s">
        <v>149</v>
      </c>
      <c r="E277" s="15">
        <v>10518</v>
      </c>
      <c r="F277" s="15" t="s">
        <v>29</v>
      </c>
      <c r="G277" s="20">
        <f t="shared" si="10"/>
        <v>0.62192934</v>
      </c>
      <c r="H277" s="15" t="s">
        <v>29</v>
      </c>
      <c r="I277" s="43">
        <f t="shared" si="11"/>
        <v>0.62192934</v>
      </c>
    </row>
    <row r="278" ht="15.75" spans="1:9">
      <c r="A278" s="71"/>
      <c r="B278" s="71"/>
      <c r="C278" s="10"/>
      <c r="D278" s="13" t="s">
        <v>48</v>
      </c>
      <c r="E278" s="15">
        <v>187104</v>
      </c>
      <c r="F278" s="15" t="s">
        <v>29</v>
      </c>
      <c r="G278" s="20">
        <f t="shared" si="10"/>
        <v>11.06345952</v>
      </c>
      <c r="H278" s="15" t="s">
        <v>29</v>
      </c>
      <c r="I278" s="43">
        <f t="shared" si="11"/>
        <v>11.06345952</v>
      </c>
    </row>
    <row r="279" ht="15.75" spans="1:9">
      <c r="A279" s="71"/>
      <c r="B279" s="71"/>
      <c r="C279" s="10"/>
      <c r="D279" s="13" t="s">
        <v>151</v>
      </c>
      <c r="E279" s="15">
        <v>8916</v>
      </c>
      <c r="F279" s="15" t="s">
        <v>29</v>
      </c>
      <c r="G279" s="20">
        <f t="shared" si="10"/>
        <v>0.52720308</v>
      </c>
      <c r="H279" s="15" t="s">
        <v>29</v>
      </c>
      <c r="I279" s="43">
        <f t="shared" si="11"/>
        <v>0.52720308</v>
      </c>
    </row>
    <row r="280" ht="15.75" spans="1:9">
      <c r="A280" s="71"/>
      <c r="B280" s="71"/>
      <c r="C280" s="10"/>
      <c r="D280" s="13" t="s">
        <v>153</v>
      </c>
      <c r="E280" s="15">
        <v>19585</v>
      </c>
      <c r="F280" s="15" t="s">
        <v>29</v>
      </c>
      <c r="G280" s="20">
        <f t="shared" si="10"/>
        <v>1.15806105</v>
      </c>
      <c r="H280" s="15" t="s">
        <v>29</v>
      </c>
      <c r="I280" s="43">
        <f t="shared" si="11"/>
        <v>1.15806105</v>
      </c>
    </row>
    <row r="281" ht="15.75" spans="1:9">
      <c r="A281" s="71"/>
      <c r="B281" s="71"/>
      <c r="C281" s="10"/>
      <c r="D281" s="13" t="s">
        <v>57</v>
      </c>
      <c r="E281" s="15">
        <v>12985</v>
      </c>
      <c r="F281" s="15" t="s">
        <v>29</v>
      </c>
      <c r="G281" s="20">
        <f t="shared" si="10"/>
        <v>0.76780305</v>
      </c>
      <c r="H281" s="15" t="s">
        <v>29</v>
      </c>
      <c r="I281" s="43">
        <f t="shared" si="11"/>
        <v>0.76780305</v>
      </c>
    </row>
    <row r="282" ht="15.75" spans="1:9">
      <c r="A282" s="71"/>
      <c r="B282" s="71"/>
      <c r="C282" s="10" t="s">
        <v>27</v>
      </c>
      <c r="D282" s="13" t="s">
        <v>28</v>
      </c>
      <c r="E282" s="15">
        <v>15089</v>
      </c>
      <c r="F282" s="15" t="s">
        <v>29</v>
      </c>
      <c r="G282" s="20">
        <f t="shared" si="10"/>
        <v>0.89221257</v>
      </c>
      <c r="H282" s="15" t="s">
        <v>29</v>
      </c>
      <c r="I282" s="43">
        <f t="shared" si="11"/>
        <v>0.89221257</v>
      </c>
    </row>
    <row r="283" ht="15.75" spans="1:9">
      <c r="A283" s="71"/>
      <c r="B283" s="71"/>
      <c r="C283" s="10"/>
      <c r="D283" s="13" t="s">
        <v>27</v>
      </c>
      <c r="E283" s="15">
        <v>338245</v>
      </c>
      <c r="F283" s="15" t="s">
        <v>29</v>
      </c>
      <c r="G283" s="20">
        <f t="shared" si="10"/>
        <v>20.00042685</v>
      </c>
      <c r="H283" s="15" t="s">
        <v>29</v>
      </c>
      <c r="I283" s="43">
        <f t="shared" si="11"/>
        <v>20.00042685</v>
      </c>
    </row>
    <row r="284" ht="15.75" spans="1:9">
      <c r="A284" s="71"/>
      <c r="B284" s="71"/>
      <c r="C284" s="10"/>
      <c r="D284" s="13" t="s">
        <v>187</v>
      </c>
      <c r="E284" s="15">
        <v>12701</v>
      </c>
      <c r="F284" s="15" t="s">
        <v>29</v>
      </c>
      <c r="G284" s="20">
        <f t="shared" si="10"/>
        <v>0.75101013</v>
      </c>
      <c r="H284" s="15" t="s">
        <v>29</v>
      </c>
      <c r="I284" s="43">
        <f t="shared" si="11"/>
        <v>0.75101013</v>
      </c>
    </row>
    <row r="285" ht="15.75" spans="1:9">
      <c r="A285" s="71"/>
      <c r="B285" s="71"/>
      <c r="C285" s="10"/>
      <c r="D285" s="13" t="s">
        <v>161</v>
      </c>
      <c r="E285" s="15">
        <v>30825</v>
      </c>
      <c r="F285" s="15" t="s">
        <v>29</v>
      </c>
      <c r="G285" s="20">
        <f t="shared" si="10"/>
        <v>1.82268225</v>
      </c>
      <c r="H285" s="15" t="s">
        <v>29</v>
      </c>
      <c r="I285" s="43">
        <f t="shared" si="11"/>
        <v>1.82268225</v>
      </c>
    </row>
    <row r="286" ht="15.75" spans="1:9">
      <c r="A286" s="71"/>
      <c r="B286" s="71"/>
      <c r="C286" s="10"/>
      <c r="D286" s="13" t="s">
        <v>33</v>
      </c>
      <c r="E286" s="15">
        <v>12701</v>
      </c>
      <c r="F286" s="15" t="s">
        <v>29</v>
      </c>
      <c r="G286" s="20">
        <f t="shared" si="10"/>
        <v>0.75101013</v>
      </c>
      <c r="H286" s="15" t="s">
        <v>29</v>
      </c>
      <c r="I286" s="43">
        <f t="shared" si="11"/>
        <v>0.75101013</v>
      </c>
    </row>
    <row r="287" ht="15.75" spans="1:9">
      <c r="A287" s="71"/>
      <c r="B287" s="71"/>
      <c r="C287" s="10" t="s">
        <v>162</v>
      </c>
      <c r="D287" s="13" t="s">
        <v>163</v>
      </c>
      <c r="E287" s="15">
        <v>17037</v>
      </c>
      <c r="F287" s="15" t="s">
        <v>29</v>
      </c>
      <c r="G287" s="20">
        <f t="shared" si="10"/>
        <v>1.00739781</v>
      </c>
      <c r="H287" s="15" t="s">
        <v>29</v>
      </c>
      <c r="I287" s="43">
        <f t="shared" si="11"/>
        <v>1.00739781</v>
      </c>
    </row>
    <row r="288" ht="15.75" spans="1:9">
      <c r="A288" s="71"/>
      <c r="B288" s="71"/>
      <c r="C288" s="10"/>
      <c r="D288" s="125" t="s">
        <v>166</v>
      </c>
      <c r="E288" s="15">
        <v>9821</v>
      </c>
      <c r="F288" s="15" t="s">
        <v>29</v>
      </c>
      <c r="G288" s="20">
        <f t="shared" si="10"/>
        <v>0.58071573</v>
      </c>
      <c r="H288" s="15" t="s">
        <v>29</v>
      </c>
      <c r="I288" s="43">
        <f t="shared" si="11"/>
        <v>0.58071573</v>
      </c>
    </row>
    <row r="289" ht="15.75" spans="1:9">
      <c r="A289" s="71"/>
      <c r="B289" s="71"/>
      <c r="C289" s="10"/>
      <c r="D289" s="125" t="s">
        <v>188</v>
      </c>
      <c r="E289" s="15">
        <v>86367</v>
      </c>
      <c r="F289" s="15" t="s">
        <v>29</v>
      </c>
      <c r="G289" s="20">
        <f t="shared" si="10"/>
        <v>5.10688071</v>
      </c>
      <c r="H289" s="15" t="s">
        <v>29</v>
      </c>
      <c r="I289" s="43">
        <f t="shared" si="11"/>
        <v>5.10688071</v>
      </c>
    </row>
    <row r="290" ht="15.75" spans="1:9">
      <c r="A290" s="71"/>
      <c r="B290" s="71"/>
      <c r="C290" s="10"/>
      <c r="D290" s="125" t="s">
        <v>167</v>
      </c>
      <c r="E290" s="15">
        <v>25772</v>
      </c>
      <c r="F290" s="15" t="s">
        <v>29</v>
      </c>
      <c r="G290" s="20">
        <f t="shared" si="10"/>
        <v>1.52389836</v>
      </c>
      <c r="H290" s="15" t="s">
        <v>29</v>
      </c>
      <c r="I290" s="43">
        <f t="shared" si="11"/>
        <v>1.52389836</v>
      </c>
    </row>
    <row r="291" ht="15.75" spans="1:9">
      <c r="A291" s="71"/>
      <c r="B291" s="71"/>
      <c r="C291" s="10"/>
      <c r="D291" s="125" t="s">
        <v>173</v>
      </c>
      <c r="E291" s="15">
        <v>5246</v>
      </c>
      <c r="F291" s="15" t="s">
        <v>29</v>
      </c>
      <c r="G291" s="20">
        <f t="shared" si="10"/>
        <v>0.31019598</v>
      </c>
      <c r="H291" s="15" t="s">
        <v>29</v>
      </c>
      <c r="I291" s="43">
        <f t="shared" si="11"/>
        <v>0.31019598</v>
      </c>
    </row>
    <row r="292" ht="15.75" spans="1:9">
      <c r="A292" s="71"/>
      <c r="B292" s="71"/>
      <c r="C292" s="10" t="s">
        <v>65</v>
      </c>
      <c r="D292" s="13" t="s">
        <v>174</v>
      </c>
      <c r="E292" s="15">
        <v>14661</v>
      </c>
      <c r="F292" s="15" t="s">
        <v>29</v>
      </c>
      <c r="G292" s="20">
        <f t="shared" si="10"/>
        <v>0.86690493</v>
      </c>
      <c r="H292" s="15" t="s">
        <v>29</v>
      </c>
      <c r="I292" s="43">
        <f t="shared" si="11"/>
        <v>0.86690493</v>
      </c>
    </row>
    <row r="293" ht="19.5" customHeight="1" spans="1:9">
      <c r="A293" s="71"/>
      <c r="B293" s="71"/>
      <c r="C293" s="10"/>
      <c r="D293" s="13" t="s">
        <v>65</v>
      </c>
      <c r="E293" s="15">
        <v>118597</v>
      </c>
      <c r="F293" s="15" t="s">
        <v>29</v>
      </c>
      <c r="G293" s="20">
        <f t="shared" si="10"/>
        <v>7.01264061</v>
      </c>
      <c r="H293" s="15" t="s">
        <v>29</v>
      </c>
      <c r="I293" s="43">
        <f t="shared" si="11"/>
        <v>7.01264061</v>
      </c>
    </row>
    <row r="294" ht="15.75" spans="1:9">
      <c r="A294" s="71"/>
      <c r="B294" s="71"/>
      <c r="C294" s="10"/>
      <c r="D294" s="13" t="s">
        <v>189</v>
      </c>
      <c r="E294" s="15">
        <v>319450</v>
      </c>
      <c r="F294" s="15" t="s">
        <v>29</v>
      </c>
      <c r="G294" s="20">
        <f t="shared" si="10"/>
        <v>18.8890785</v>
      </c>
      <c r="H294" s="15" t="s">
        <v>29</v>
      </c>
      <c r="I294" s="43">
        <f t="shared" si="11"/>
        <v>18.8890785</v>
      </c>
    </row>
    <row r="295" ht="15.75" spans="1:9">
      <c r="A295" s="71"/>
      <c r="B295" s="71"/>
      <c r="C295" s="10"/>
      <c r="D295" s="13" t="s">
        <v>190</v>
      </c>
      <c r="E295" s="15">
        <v>41198</v>
      </c>
      <c r="F295" s="15" t="s">
        <v>29</v>
      </c>
      <c r="G295" s="20">
        <f t="shared" si="10"/>
        <v>2.43603774</v>
      </c>
      <c r="H295" s="15" t="s">
        <v>29</v>
      </c>
      <c r="I295" s="43">
        <f t="shared" si="11"/>
        <v>2.43603774</v>
      </c>
    </row>
    <row r="296" ht="15.75" spans="1:9">
      <c r="A296" s="71"/>
      <c r="B296" s="71"/>
      <c r="C296" s="10"/>
      <c r="D296" s="13" t="s">
        <v>191</v>
      </c>
      <c r="E296" s="15">
        <v>10969</v>
      </c>
      <c r="F296" s="15" t="s">
        <v>29</v>
      </c>
      <c r="G296" s="20">
        <f t="shared" si="10"/>
        <v>0.64859697</v>
      </c>
      <c r="H296" s="15" t="s">
        <v>29</v>
      </c>
      <c r="I296" s="43">
        <f t="shared" si="11"/>
        <v>0.64859697</v>
      </c>
    </row>
    <row r="297" ht="15.75" spans="1:9">
      <c r="A297" s="71"/>
      <c r="B297" s="71"/>
      <c r="C297" s="10"/>
      <c r="D297" s="13" t="s">
        <v>192</v>
      </c>
      <c r="E297" s="15">
        <v>9181</v>
      </c>
      <c r="F297" s="15" t="s">
        <v>29</v>
      </c>
      <c r="G297" s="20">
        <f t="shared" si="10"/>
        <v>0.54287253</v>
      </c>
      <c r="H297" s="15" t="s">
        <v>29</v>
      </c>
      <c r="I297" s="43">
        <f t="shared" si="11"/>
        <v>0.54287253</v>
      </c>
    </row>
    <row r="298" ht="15.75" spans="1:9">
      <c r="A298" s="71"/>
      <c r="B298" s="71"/>
      <c r="C298" s="10"/>
      <c r="D298" s="13" t="s">
        <v>193</v>
      </c>
      <c r="E298" s="15">
        <v>16643</v>
      </c>
      <c r="F298" s="15" t="s">
        <v>29</v>
      </c>
      <c r="G298" s="20">
        <f t="shared" si="10"/>
        <v>0.98410059</v>
      </c>
      <c r="H298" s="15" t="s">
        <v>29</v>
      </c>
      <c r="I298" s="43">
        <f t="shared" si="11"/>
        <v>0.98410059</v>
      </c>
    </row>
    <row r="299" ht="15.75" spans="1:9">
      <c r="A299" s="71"/>
      <c r="B299" s="71"/>
      <c r="C299" s="10"/>
      <c r="D299" s="13" t="s">
        <v>78</v>
      </c>
      <c r="E299" s="15">
        <v>15098</v>
      </c>
      <c r="F299" s="15" t="s">
        <v>29</v>
      </c>
      <c r="G299" s="20">
        <f t="shared" si="10"/>
        <v>0.89274474</v>
      </c>
      <c r="H299" s="15" t="s">
        <v>29</v>
      </c>
      <c r="I299" s="43">
        <f t="shared" si="11"/>
        <v>0.89274474</v>
      </c>
    </row>
    <row r="300" ht="15.75" spans="1:9">
      <c r="A300" s="100">
        <v>2</v>
      </c>
      <c r="B300" s="71">
        <v>1991</v>
      </c>
      <c r="C300" s="10" t="s">
        <v>48</v>
      </c>
      <c r="D300" s="13" t="s">
        <v>148</v>
      </c>
      <c r="E300" s="15">
        <v>14733</v>
      </c>
      <c r="F300" s="15" t="s">
        <v>29</v>
      </c>
      <c r="G300" s="20">
        <f t="shared" si="10"/>
        <v>0.87116229</v>
      </c>
      <c r="H300" s="15" t="s">
        <v>29</v>
      </c>
      <c r="I300" s="43">
        <f t="shared" si="11"/>
        <v>0.87116229</v>
      </c>
    </row>
    <row r="301" ht="15.75" spans="1:9">
      <c r="A301" s="100"/>
      <c r="B301" s="71"/>
      <c r="C301" s="10"/>
      <c r="D301" s="13" t="s">
        <v>186</v>
      </c>
      <c r="E301" s="15">
        <v>16069</v>
      </c>
      <c r="F301" s="15" t="s">
        <v>29</v>
      </c>
      <c r="G301" s="20">
        <f t="shared" si="10"/>
        <v>0.95015997</v>
      </c>
      <c r="H301" s="15" t="s">
        <v>29</v>
      </c>
      <c r="I301" s="43">
        <f t="shared" si="11"/>
        <v>0.95015997</v>
      </c>
    </row>
    <row r="302" ht="15.75" spans="1:9">
      <c r="A302" s="100"/>
      <c r="B302" s="71"/>
      <c r="C302" s="10"/>
      <c r="D302" s="13" t="s">
        <v>149</v>
      </c>
      <c r="E302" s="15">
        <v>12601</v>
      </c>
      <c r="F302" s="15" t="s">
        <v>29</v>
      </c>
      <c r="G302" s="20">
        <f t="shared" si="10"/>
        <v>0.74509713</v>
      </c>
      <c r="H302" s="15" t="s">
        <v>29</v>
      </c>
      <c r="I302" s="43">
        <f t="shared" si="11"/>
        <v>0.74509713</v>
      </c>
    </row>
    <row r="303" ht="15.75" spans="1:9">
      <c r="A303" s="100"/>
      <c r="B303" s="71"/>
      <c r="C303" s="10"/>
      <c r="D303" s="13" t="s">
        <v>194</v>
      </c>
      <c r="E303" s="15">
        <v>10561</v>
      </c>
      <c r="F303" s="15" t="s">
        <v>29</v>
      </c>
      <c r="G303" s="20">
        <f t="shared" si="10"/>
        <v>0.62447193</v>
      </c>
      <c r="H303" s="15" t="s">
        <v>29</v>
      </c>
      <c r="I303" s="43">
        <f t="shared" si="11"/>
        <v>0.62447193</v>
      </c>
    </row>
    <row r="304" ht="15.75" spans="1:9">
      <c r="A304" s="100"/>
      <c r="B304" s="71"/>
      <c r="C304" s="10"/>
      <c r="D304" s="13" t="s">
        <v>195</v>
      </c>
      <c r="E304" s="15">
        <v>7260</v>
      </c>
      <c r="F304" s="15" t="s">
        <v>29</v>
      </c>
      <c r="G304" s="20">
        <f t="shared" si="10"/>
        <v>0.4292838</v>
      </c>
      <c r="H304" s="15" t="s">
        <v>29</v>
      </c>
      <c r="I304" s="43">
        <f t="shared" si="11"/>
        <v>0.4292838</v>
      </c>
    </row>
    <row r="305" ht="15.75" spans="1:9">
      <c r="A305" s="100"/>
      <c r="B305" s="71"/>
      <c r="C305" s="10"/>
      <c r="D305" s="13" t="s">
        <v>48</v>
      </c>
      <c r="E305" s="15">
        <v>229615</v>
      </c>
      <c r="F305" s="15" t="s">
        <v>29</v>
      </c>
      <c r="G305" s="20">
        <f t="shared" si="10"/>
        <v>13.57713495</v>
      </c>
      <c r="H305" s="15" t="s">
        <v>29</v>
      </c>
      <c r="I305" s="43">
        <f t="shared" si="11"/>
        <v>13.57713495</v>
      </c>
    </row>
    <row r="306" ht="15.75" spans="1:9">
      <c r="A306" s="100"/>
      <c r="B306" s="71"/>
      <c r="C306" s="10"/>
      <c r="D306" s="13" t="s">
        <v>151</v>
      </c>
      <c r="E306" s="15">
        <v>13478</v>
      </c>
      <c r="F306" s="15" t="s">
        <v>29</v>
      </c>
      <c r="G306" s="20">
        <f t="shared" si="10"/>
        <v>0.79695414</v>
      </c>
      <c r="H306" s="15" t="s">
        <v>29</v>
      </c>
      <c r="I306" s="43">
        <f t="shared" si="11"/>
        <v>0.79695414</v>
      </c>
    </row>
    <row r="307" ht="15.75" spans="1:9">
      <c r="A307" s="100"/>
      <c r="B307" s="71"/>
      <c r="C307" s="10"/>
      <c r="D307" s="13" t="s">
        <v>153</v>
      </c>
      <c r="E307" s="15">
        <v>23102</v>
      </c>
      <c r="F307" s="15" t="s">
        <v>29</v>
      </c>
      <c r="G307" s="20">
        <f t="shared" si="10"/>
        <v>1.36602126</v>
      </c>
      <c r="H307" s="15" t="s">
        <v>29</v>
      </c>
      <c r="I307" s="43">
        <f t="shared" si="11"/>
        <v>1.36602126</v>
      </c>
    </row>
    <row r="308" ht="15.75" spans="1:9">
      <c r="A308" s="100"/>
      <c r="B308" s="71"/>
      <c r="C308" s="10"/>
      <c r="D308" s="13" t="s">
        <v>155</v>
      </c>
      <c r="E308" s="15">
        <v>10377</v>
      </c>
      <c r="F308" s="15" t="s">
        <v>29</v>
      </c>
      <c r="G308" s="20">
        <f t="shared" si="10"/>
        <v>0.61359201</v>
      </c>
      <c r="H308" s="15" t="s">
        <v>29</v>
      </c>
      <c r="I308" s="43">
        <f t="shared" si="11"/>
        <v>0.61359201</v>
      </c>
    </row>
    <row r="309" ht="15.75" spans="1:9">
      <c r="A309" s="100"/>
      <c r="B309" s="71"/>
      <c r="C309" s="10"/>
      <c r="D309" s="13" t="s">
        <v>57</v>
      </c>
      <c r="E309" s="15">
        <v>17854</v>
      </c>
      <c r="F309" s="15" t="s">
        <v>29</v>
      </c>
      <c r="G309" s="20">
        <f t="shared" si="10"/>
        <v>1.05570702</v>
      </c>
      <c r="H309" s="15" t="s">
        <v>29</v>
      </c>
      <c r="I309" s="43">
        <f t="shared" si="11"/>
        <v>1.05570702</v>
      </c>
    </row>
    <row r="310" ht="15.75" spans="1:9">
      <c r="A310" s="100"/>
      <c r="B310" s="71"/>
      <c r="C310" s="10" t="s">
        <v>27</v>
      </c>
      <c r="D310" s="13" t="s">
        <v>28</v>
      </c>
      <c r="E310" s="15">
        <v>20578</v>
      </c>
      <c r="F310" s="15" t="s">
        <v>29</v>
      </c>
      <c r="G310" s="20">
        <f t="shared" si="10"/>
        <v>1.21677714</v>
      </c>
      <c r="H310" s="15" t="s">
        <v>29</v>
      </c>
      <c r="I310" s="43">
        <f t="shared" si="11"/>
        <v>1.21677714</v>
      </c>
    </row>
    <row r="311" ht="15.75" spans="1:9">
      <c r="A311" s="100"/>
      <c r="B311" s="71"/>
      <c r="C311" s="10"/>
      <c r="D311" s="13" t="s">
        <v>27</v>
      </c>
      <c r="E311" s="15">
        <v>462694</v>
      </c>
      <c r="F311" s="15" t="s">
        <v>29</v>
      </c>
      <c r="G311" s="20">
        <f t="shared" si="10"/>
        <v>27.35909622</v>
      </c>
      <c r="H311" s="15" t="s">
        <v>29</v>
      </c>
      <c r="I311" s="43">
        <f t="shared" si="11"/>
        <v>27.35909622</v>
      </c>
    </row>
    <row r="312" ht="15.75" spans="1:9">
      <c r="A312" s="100"/>
      <c r="B312" s="71"/>
      <c r="C312" s="10"/>
      <c r="D312" s="13" t="s">
        <v>160</v>
      </c>
      <c r="E312" s="15">
        <v>13551</v>
      </c>
      <c r="F312" s="15" t="s">
        <v>29</v>
      </c>
      <c r="G312" s="20">
        <f t="shared" si="10"/>
        <v>0.80127063</v>
      </c>
      <c r="H312" s="15" t="s">
        <v>29</v>
      </c>
      <c r="I312" s="43">
        <f t="shared" si="11"/>
        <v>0.80127063</v>
      </c>
    </row>
    <row r="313" ht="15.75" spans="1:9">
      <c r="A313" s="100"/>
      <c r="B313" s="71"/>
      <c r="C313" s="10"/>
      <c r="D313" s="13" t="s">
        <v>187</v>
      </c>
      <c r="E313" s="15">
        <v>17373</v>
      </c>
      <c r="F313" s="15" t="s">
        <v>29</v>
      </c>
      <c r="G313" s="20">
        <f t="shared" si="10"/>
        <v>1.02726549</v>
      </c>
      <c r="H313" s="15" t="s">
        <v>29</v>
      </c>
      <c r="I313" s="43">
        <f t="shared" si="11"/>
        <v>1.02726549</v>
      </c>
    </row>
    <row r="314" ht="15.75" spans="1:9">
      <c r="A314" s="100"/>
      <c r="B314" s="71"/>
      <c r="C314" s="10"/>
      <c r="D314" s="13" t="s">
        <v>161</v>
      </c>
      <c r="E314" s="15">
        <v>4568</v>
      </c>
      <c r="F314" s="15" t="s">
        <v>29</v>
      </c>
      <c r="G314" s="20">
        <f t="shared" si="10"/>
        <v>0.27010584</v>
      </c>
      <c r="H314" s="15" t="s">
        <v>29</v>
      </c>
      <c r="I314" s="43">
        <f t="shared" si="11"/>
        <v>0.27010584</v>
      </c>
    </row>
    <row r="315" ht="15.75" spans="1:9">
      <c r="A315" s="100"/>
      <c r="B315" s="71"/>
      <c r="C315" s="10"/>
      <c r="D315" s="13" t="s">
        <v>33</v>
      </c>
      <c r="E315" s="15">
        <v>17373</v>
      </c>
      <c r="F315" s="15" t="s">
        <v>29</v>
      </c>
      <c r="G315" s="20">
        <f t="shared" si="10"/>
        <v>1.02726549</v>
      </c>
      <c r="H315" s="15" t="s">
        <v>29</v>
      </c>
      <c r="I315" s="43">
        <f t="shared" si="11"/>
        <v>1.02726549</v>
      </c>
    </row>
    <row r="316" ht="15.75" spans="1:9">
      <c r="A316" s="100"/>
      <c r="B316" s="71"/>
      <c r="C316" s="10"/>
      <c r="D316" s="13" t="s">
        <v>39</v>
      </c>
      <c r="E316" s="15">
        <v>13668</v>
      </c>
      <c r="F316" s="15" t="s">
        <v>29</v>
      </c>
      <c r="G316" s="20">
        <f t="shared" si="10"/>
        <v>0.80818884</v>
      </c>
      <c r="H316" s="15" t="s">
        <v>29</v>
      </c>
      <c r="I316" s="43">
        <f t="shared" si="11"/>
        <v>0.80818884</v>
      </c>
    </row>
    <row r="317" ht="15.75" spans="1:9">
      <c r="A317" s="100"/>
      <c r="B317" s="71"/>
      <c r="C317" s="10" t="s">
        <v>162</v>
      </c>
      <c r="D317" s="13" t="s">
        <v>163</v>
      </c>
      <c r="E317" s="15">
        <v>23916</v>
      </c>
      <c r="F317" s="15" t="s">
        <v>29</v>
      </c>
      <c r="G317" s="20">
        <f t="shared" si="10"/>
        <v>1.41415308</v>
      </c>
      <c r="H317" s="15" t="s">
        <v>29</v>
      </c>
      <c r="I317" s="43">
        <f t="shared" si="11"/>
        <v>1.41415308</v>
      </c>
    </row>
    <row r="318" ht="15.75" spans="1:9">
      <c r="A318" s="100"/>
      <c r="B318" s="71"/>
      <c r="C318" s="10"/>
      <c r="D318" s="13" t="s">
        <v>158</v>
      </c>
      <c r="E318" s="15">
        <v>10369</v>
      </c>
      <c r="F318" s="15" t="s">
        <v>29</v>
      </c>
      <c r="G318" s="20">
        <f t="shared" si="10"/>
        <v>0.61311897</v>
      </c>
      <c r="H318" s="15" t="s">
        <v>29</v>
      </c>
      <c r="I318" s="43">
        <f t="shared" si="11"/>
        <v>0.61311897</v>
      </c>
    </row>
    <row r="319" ht="15.75" spans="1:9">
      <c r="A319" s="100"/>
      <c r="B319" s="71"/>
      <c r="C319" s="10"/>
      <c r="D319" s="125" t="s">
        <v>166</v>
      </c>
      <c r="E319" s="15">
        <v>13569</v>
      </c>
      <c r="F319" s="15" t="s">
        <v>29</v>
      </c>
      <c r="G319" s="20">
        <f t="shared" si="10"/>
        <v>0.80233497</v>
      </c>
      <c r="H319" s="15" t="s">
        <v>29</v>
      </c>
      <c r="I319" s="43">
        <f t="shared" si="11"/>
        <v>0.80233497</v>
      </c>
    </row>
    <row r="320" ht="15.75" spans="1:9">
      <c r="A320" s="100"/>
      <c r="B320" s="71"/>
      <c r="C320" s="10"/>
      <c r="D320" s="125" t="s">
        <v>188</v>
      </c>
      <c r="E320" s="15">
        <v>125371</v>
      </c>
      <c r="F320" s="15" t="s">
        <v>29</v>
      </c>
      <c r="G320" s="20">
        <f t="shared" si="10"/>
        <v>7.41318723</v>
      </c>
      <c r="H320" s="15" t="s">
        <v>29</v>
      </c>
      <c r="I320" s="43">
        <f t="shared" si="11"/>
        <v>7.41318723</v>
      </c>
    </row>
    <row r="321" ht="15.75" spans="1:9">
      <c r="A321" s="100"/>
      <c r="B321" s="71"/>
      <c r="C321" s="10"/>
      <c r="D321" s="125" t="s">
        <v>167</v>
      </c>
      <c r="E321" s="15">
        <v>31559</v>
      </c>
      <c r="F321" s="15" t="s">
        <v>29</v>
      </c>
      <c r="G321" s="20">
        <f t="shared" si="10"/>
        <v>1.86608367</v>
      </c>
      <c r="H321" s="15" t="s">
        <v>29</v>
      </c>
      <c r="I321" s="43">
        <f t="shared" si="11"/>
        <v>1.86608367</v>
      </c>
    </row>
    <row r="322" ht="15.75" spans="1:9">
      <c r="A322" s="100"/>
      <c r="B322" s="71"/>
      <c r="C322" s="10"/>
      <c r="D322" s="125" t="s">
        <v>173</v>
      </c>
      <c r="E322" s="15">
        <v>6189</v>
      </c>
      <c r="F322" s="15" t="s">
        <v>29</v>
      </c>
      <c r="G322" s="20">
        <f t="shared" si="10"/>
        <v>0.36595557</v>
      </c>
      <c r="H322" s="15" t="s">
        <v>29</v>
      </c>
      <c r="I322" s="43">
        <f t="shared" si="11"/>
        <v>0.36595557</v>
      </c>
    </row>
    <row r="323" ht="15.75" spans="1:9">
      <c r="A323" s="100"/>
      <c r="B323" s="71"/>
      <c r="C323" s="10"/>
      <c r="D323" s="13" t="s">
        <v>170</v>
      </c>
      <c r="E323" s="15">
        <v>9317</v>
      </c>
      <c r="F323" s="15" t="s">
        <v>29</v>
      </c>
      <c r="G323" s="20">
        <f t="shared" si="10"/>
        <v>0.55091421</v>
      </c>
      <c r="H323" s="15" t="s">
        <v>29</v>
      </c>
      <c r="I323" s="43">
        <f t="shared" si="11"/>
        <v>0.55091421</v>
      </c>
    </row>
    <row r="324" ht="15.75" spans="1:9">
      <c r="A324" s="100"/>
      <c r="B324" s="71"/>
      <c r="C324" s="10"/>
      <c r="D324" s="13" t="s">
        <v>196</v>
      </c>
      <c r="E324" s="15">
        <v>6672</v>
      </c>
      <c r="F324" s="15" t="s">
        <v>29</v>
      </c>
      <c r="G324" s="20">
        <f t="shared" si="10"/>
        <v>0.39451536</v>
      </c>
      <c r="H324" s="15" t="s">
        <v>29</v>
      </c>
      <c r="I324" s="43">
        <f t="shared" si="11"/>
        <v>0.39451536</v>
      </c>
    </row>
    <row r="325" ht="15.75" spans="1:9">
      <c r="A325" s="100"/>
      <c r="B325" s="71"/>
      <c r="C325" s="10"/>
      <c r="D325" s="13" t="s">
        <v>197</v>
      </c>
      <c r="E325" s="15">
        <v>9317</v>
      </c>
      <c r="F325" s="15" t="s">
        <v>29</v>
      </c>
      <c r="G325" s="20">
        <f t="shared" si="10"/>
        <v>0.55091421</v>
      </c>
      <c r="H325" s="15" t="s">
        <v>29</v>
      </c>
      <c r="I325" s="43">
        <f t="shared" si="11"/>
        <v>0.55091421</v>
      </c>
    </row>
    <row r="326" ht="15.75" spans="1:9">
      <c r="A326" s="70"/>
      <c r="B326" s="70">
        <v>1991</v>
      </c>
      <c r="C326" s="11" t="s">
        <v>65</v>
      </c>
      <c r="D326" s="13" t="s">
        <v>174</v>
      </c>
      <c r="E326" s="15">
        <v>19093</v>
      </c>
      <c r="F326" s="15" t="s">
        <v>29</v>
      </c>
      <c r="G326" s="20">
        <f t="shared" si="10"/>
        <v>1.12896909</v>
      </c>
      <c r="H326" s="15" t="s">
        <v>29</v>
      </c>
      <c r="I326" s="43">
        <f t="shared" si="11"/>
        <v>1.12896909</v>
      </c>
    </row>
    <row r="327" ht="15.75" spans="1:9">
      <c r="A327" s="83"/>
      <c r="B327" s="83"/>
      <c r="C327" s="22"/>
      <c r="D327" s="13" t="s">
        <v>65</v>
      </c>
      <c r="E327" s="15">
        <v>166932</v>
      </c>
      <c r="F327" s="15" t="s">
        <v>29</v>
      </c>
      <c r="G327" s="20">
        <f t="shared" si="10"/>
        <v>9.87068916</v>
      </c>
      <c r="H327" s="15" t="s">
        <v>29</v>
      </c>
      <c r="I327" s="43">
        <f t="shared" si="11"/>
        <v>9.87068916</v>
      </c>
    </row>
    <row r="328" ht="15.75" spans="1:9">
      <c r="A328" s="83"/>
      <c r="B328" s="83"/>
      <c r="C328" s="22"/>
      <c r="D328" s="13" t="s">
        <v>189</v>
      </c>
      <c r="E328" s="15">
        <v>461352</v>
      </c>
      <c r="F328" s="15" t="s">
        <v>29</v>
      </c>
      <c r="G328" s="20">
        <f t="shared" si="10"/>
        <v>27.27974376</v>
      </c>
      <c r="H328" s="15" t="s">
        <v>29</v>
      </c>
      <c r="I328" s="43">
        <f t="shared" si="11"/>
        <v>27.27974376</v>
      </c>
    </row>
    <row r="329" ht="15.75" spans="1:9">
      <c r="A329" s="83"/>
      <c r="B329" s="83"/>
      <c r="C329" s="22"/>
      <c r="D329" s="13" t="s">
        <v>190</v>
      </c>
      <c r="E329" s="15">
        <v>47756</v>
      </c>
      <c r="F329" s="15" t="s">
        <v>29</v>
      </c>
      <c r="G329" s="20">
        <f t="shared" si="10"/>
        <v>2.82381228</v>
      </c>
      <c r="H329" s="15" t="s">
        <v>29</v>
      </c>
      <c r="I329" s="43">
        <f t="shared" si="11"/>
        <v>2.82381228</v>
      </c>
    </row>
    <row r="330" ht="15.75" spans="1:9">
      <c r="A330" s="83"/>
      <c r="B330" s="83"/>
      <c r="C330" s="22"/>
      <c r="D330" s="13" t="s">
        <v>191</v>
      </c>
      <c r="E330" s="15">
        <v>15913</v>
      </c>
      <c r="F330" s="15" t="s">
        <v>29</v>
      </c>
      <c r="G330" s="20">
        <f t="shared" si="10"/>
        <v>0.94093569</v>
      </c>
      <c r="H330" s="15" t="s">
        <v>29</v>
      </c>
      <c r="I330" s="43">
        <f t="shared" si="11"/>
        <v>0.94093569</v>
      </c>
    </row>
    <row r="331" ht="15.75" spans="1:9">
      <c r="A331" s="83"/>
      <c r="B331" s="83"/>
      <c r="C331" s="22"/>
      <c r="D331" s="13" t="s">
        <v>192</v>
      </c>
      <c r="E331" s="15">
        <v>13123</v>
      </c>
      <c r="F331" s="15" t="s">
        <v>29</v>
      </c>
      <c r="G331" s="20">
        <f t="shared" si="10"/>
        <v>0.77596299</v>
      </c>
      <c r="H331" s="15" t="s">
        <v>29</v>
      </c>
      <c r="I331" s="43">
        <f t="shared" si="11"/>
        <v>0.77596299</v>
      </c>
    </row>
    <row r="332" ht="15.75" spans="1:9">
      <c r="A332" s="83"/>
      <c r="B332" s="83"/>
      <c r="C332" s="22"/>
      <c r="D332" s="13" t="s">
        <v>193</v>
      </c>
      <c r="E332" s="15">
        <v>18702</v>
      </c>
      <c r="F332" s="15" t="s">
        <v>29</v>
      </c>
      <c r="G332" s="20">
        <f t="shared" si="10"/>
        <v>1.10584926</v>
      </c>
      <c r="H332" s="15" t="s">
        <v>29</v>
      </c>
      <c r="I332" s="43">
        <f t="shared" si="11"/>
        <v>1.10584926</v>
      </c>
    </row>
    <row r="333" ht="15.75" spans="1:9">
      <c r="A333" s="83"/>
      <c r="B333" s="83"/>
      <c r="C333" s="22"/>
      <c r="D333" s="13" t="s">
        <v>78</v>
      </c>
      <c r="E333" s="15">
        <v>17916</v>
      </c>
      <c r="F333" s="15" t="s">
        <v>29</v>
      </c>
      <c r="G333" s="20">
        <f t="shared" si="10"/>
        <v>1.05937308</v>
      </c>
      <c r="H333" s="15" t="s">
        <v>29</v>
      </c>
      <c r="I333" s="43">
        <f t="shared" si="11"/>
        <v>1.05937308</v>
      </c>
    </row>
    <row r="334" ht="15.75" spans="1:9">
      <c r="A334" s="83"/>
      <c r="B334" s="83"/>
      <c r="C334" s="22"/>
      <c r="D334" s="13" t="s">
        <v>181</v>
      </c>
      <c r="E334" s="15">
        <v>7474</v>
      </c>
      <c r="F334" s="15" t="s">
        <v>29</v>
      </c>
      <c r="G334" s="20">
        <f t="shared" si="10"/>
        <v>0.44193762</v>
      </c>
      <c r="H334" s="15" t="s">
        <v>29</v>
      </c>
      <c r="I334" s="43">
        <f t="shared" si="11"/>
        <v>0.44193762</v>
      </c>
    </row>
    <row r="335" ht="15.75" spans="1:9">
      <c r="A335" s="83"/>
      <c r="B335" s="83"/>
      <c r="C335" s="22"/>
      <c r="D335" s="13" t="s">
        <v>182</v>
      </c>
      <c r="E335" s="15">
        <v>7142</v>
      </c>
      <c r="F335" s="15" t="s">
        <v>29</v>
      </c>
      <c r="G335" s="20">
        <f t="shared" si="10"/>
        <v>0.42230646</v>
      </c>
      <c r="H335" s="15" t="s">
        <v>29</v>
      </c>
      <c r="I335" s="43">
        <f t="shared" si="11"/>
        <v>0.42230646</v>
      </c>
    </row>
    <row r="336" ht="15.75" spans="1:9">
      <c r="A336" s="84"/>
      <c r="B336" s="84"/>
      <c r="C336" s="23"/>
      <c r="D336" s="13" t="s">
        <v>198</v>
      </c>
      <c r="E336" s="15">
        <v>6236</v>
      </c>
      <c r="F336" s="15" t="s">
        <v>29</v>
      </c>
      <c r="G336" s="20">
        <f t="shared" si="10"/>
        <v>0.36873468</v>
      </c>
      <c r="H336" s="15" t="s">
        <v>29</v>
      </c>
      <c r="I336" s="43">
        <f t="shared" si="11"/>
        <v>0.36873468</v>
      </c>
    </row>
    <row r="337" ht="15.75" spans="1:9">
      <c r="A337" s="70">
        <v>3</v>
      </c>
      <c r="B337" s="70">
        <v>2001</v>
      </c>
      <c r="C337" s="11" t="s">
        <v>48</v>
      </c>
      <c r="D337" s="13" t="s">
        <v>48</v>
      </c>
      <c r="E337" s="15">
        <v>275694</v>
      </c>
      <c r="F337" s="19">
        <v>8683</v>
      </c>
      <c r="G337" s="20">
        <f t="shared" si="10"/>
        <v>16.30178622</v>
      </c>
      <c r="H337" s="20">
        <v>0.177483820797549</v>
      </c>
      <c r="I337" s="43">
        <f>G337+H337</f>
        <v>16.4792700407975</v>
      </c>
    </row>
    <row r="338" ht="15.75" spans="1:9">
      <c r="A338" s="83"/>
      <c r="B338" s="83"/>
      <c r="C338" s="184"/>
      <c r="D338" s="13" t="s">
        <v>195</v>
      </c>
      <c r="E338" s="15">
        <v>8988</v>
      </c>
      <c r="F338" s="19">
        <v>2630</v>
      </c>
      <c r="G338" s="20">
        <f t="shared" si="10"/>
        <v>0.53146044</v>
      </c>
      <c r="H338" s="20">
        <v>0.0463268424931796</v>
      </c>
      <c r="I338" s="43">
        <f>G338+H338</f>
        <v>0.57778728249318</v>
      </c>
    </row>
    <row r="339" ht="15.75" spans="1:9">
      <c r="A339" s="83"/>
      <c r="B339" s="83"/>
      <c r="C339" s="184"/>
      <c r="D339" s="13" t="s">
        <v>194</v>
      </c>
      <c r="E339" s="15">
        <v>13403</v>
      </c>
      <c r="F339" s="15" t="s">
        <v>29</v>
      </c>
      <c r="G339" s="20">
        <f t="shared" ref="G339:G402" si="12">E339*162*365/POWER(10,9)</f>
        <v>0.79251939</v>
      </c>
      <c r="H339" s="15" t="s">
        <v>29</v>
      </c>
      <c r="I339" s="43">
        <f>G339</f>
        <v>0.79251939</v>
      </c>
    </row>
    <row r="340" ht="15.75" spans="1:9">
      <c r="A340" s="83"/>
      <c r="B340" s="83"/>
      <c r="C340" s="184"/>
      <c r="D340" s="13" t="s">
        <v>151</v>
      </c>
      <c r="E340" s="15">
        <v>15189</v>
      </c>
      <c r="F340" s="19">
        <v>1211</v>
      </c>
      <c r="G340" s="20">
        <f t="shared" si="12"/>
        <v>0.89812557</v>
      </c>
      <c r="H340" s="20">
        <v>0.0225242075852289</v>
      </c>
      <c r="I340" s="43">
        <f>G340+H340</f>
        <v>0.920649777585229</v>
      </c>
    </row>
    <row r="341" ht="15.75" spans="1:9">
      <c r="A341" s="83"/>
      <c r="B341" s="83"/>
      <c r="C341" s="184"/>
      <c r="D341" s="13" t="s">
        <v>149</v>
      </c>
      <c r="E341" s="15">
        <v>15031</v>
      </c>
      <c r="F341" s="19">
        <v>8129</v>
      </c>
      <c r="G341" s="20">
        <f t="shared" si="12"/>
        <v>0.88878303</v>
      </c>
      <c r="H341" s="20">
        <v>0.161100296539165</v>
      </c>
      <c r="I341" s="43">
        <f>G341+H341</f>
        <v>1.04988332653916</v>
      </c>
    </row>
    <row r="342" ht="15.75" spans="1:9">
      <c r="A342" s="83"/>
      <c r="B342" s="83"/>
      <c r="C342" s="184"/>
      <c r="D342" s="13" t="s">
        <v>155</v>
      </c>
      <c r="E342" s="15">
        <v>12156</v>
      </c>
      <c r="F342" s="19">
        <v>3877</v>
      </c>
      <c r="G342" s="20">
        <f t="shared" si="12"/>
        <v>0.71878428</v>
      </c>
      <c r="H342" s="20">
        <v>0.0831670626032048</v>
      </c>
      <c r="I342" s="43">
        <f>G342+H342</f>
        <v>0.801951342603205</v>
      </c>
    </row>
    <row r="343" ht="15.75" spans="1:9">
      <c r="A343" s="83"/>
      <c r="B343" s="83"/>
      <c r="C343" s="184"/>
      <c r="D343" s="13" t="s">
        <v>199</v>
      </c>
      <c r="E343" s="71">
        <v>5738</v>
      </c>
      <c r="F343" s="15" t="s">
        <v>29</v>
      </c>
      <c r="G343" s="20">
        <f t="shared" si="12"/>
        <v>0.33928794</v>
      </c>
      <c r="H343" s="15" t="s">
        <v>29</v>
      </c>
      <c r="I343" s="43">
        <f>G343</f>
        <v>0.33928794</v>
      </c>
    </row>
    <row r="344" ht="15.75" spans="1:9">
      <c r="A344" s="83"/>
      <c r="B344" s="83"/>
      <c r="C344" s="184"/>
      <c r="D344" s="13" t="s">
        <v>153</v>
      </c>
      <c r="E344" s="15">
        <v>27389</v>
      </c>
      <c r="F344" s="19">
        <v>9751</v>
      </c>
      <c r="G344" s="20">
        <f t="shared" si="12"/>
        <v>1.61951157</v>
      </c>
      <c r="H344" s="20">
        <v>0.193900561319449</v>
      </c>
      <c r="I344" s="43">
        <f>G344+H344</f>
        <v>1.81341213131945</v>
      </c>
    </row>
    <row r="345" ht="15.75" spans="1:9">
      <c r="A345" s="83"/>
      <c r="B345" s="83"/>
      <c r="C345" s="184"/>
      <c r="D345" s="13" t="s">
        <v>154</v>
      </c>
      <c r="E345" s="15">
        <v>4982</v>
      </c>
      <c r="F345" s="15" t="s">
        <v>29</v>
      </c>
      <c r="G345" s="20">
        <f t="shared" si="12"/>
        <v>0.29458566</v>
      </c>
      <c r="H345" s="15" t="s">
        <v>29</v>
      </c>
      <c r="I345" s="43">
        <f t="shared" ref="I345:I347" si="13">G345</f>
        <v>0.29458566</v>
      </c>
    </row>
    <row r="346" ht="15.75" spans="1:9">
      <c r="A346" s="83"/>
      <c r="B346" s="83"/>
      <c r="C346" s="184"/>
      <c r="D346" s="13" t="s">
        <v>186</v>
      </c>
      <c r="E346" s="15">
        <v>19839</v>
      </c>
      <c r="F346" s="15" t="s">
        <v>29</v>
      </c>
      <c r="G346" s="20">
        <f t="shared" si="12"/>
        <v>1.17308007</v>
      </c>
      <c r="H346" s="15" t="s">
        <v>29</v>
      </c>
      <c r="I346" s="43">
        <f t="shared" si="13"/>
        <v>1.17308007</v>
      </c>
    </row>
    <row r="347" ht="15.75" spans="1:9">
      <c r="A347" s="83"/>
      <c r="B347" s="83"/>
      <c r="C347" s="184"/>
      <c r="D347" s="13" t="s">
        <v>200</v>
      </c>
      <c r="E347" s="15">
        <v>5059</v>
      </c>
      <c r="F347" s="15" t="s">
        <v>29</v>
      </c>
      <c r="G347" s="20">
        <f t="shared" si="12"/>
        <v>0.29913867</v>
      </c>
      <c r="H347" s="15" t="s">
        <v>29</v>
      </c>
      <c r="I347" s="43">
        <f t="shared" si="13"/>
        <v>0.29913867</v>
      </c>
    </row>
    <row r="348" ht="15.75" spans="1:9">
      <c r="A348" s="83"/>
      <c r="B348" s="83"/>
      <c r="C348" s="185"/>
      <c r="D348" s="13" t="s">
        <v>148</v>
      </c>
      <c r="E348" s="15">
        <v>17005</v>
      </c>
      <c r="F348" s="19">
        <v>8377</v>
      </c>
      <c r="G348" s="20">
        <f t="shared" si="12"/>
        <v>1.00550565</v>
      </c>
      <c r="H348" s="20">
        <v>0.0863911115324101</v>
      </c>
      <c r="I348" s="43">
        <f>G348+H348</f>
        <v>1.09189676153241</v>
      </c>
    </row>
    <row r="349" ht="15.75" spans="1:9">
      <c r="A349" s="83"/>
      <c r="B349" s="83"/>
      <c r="C349" s="10" t="s">
        <v>37</v>
      </c>
      <c r="D349" s="13" t="s">
        <v>39</v>
      </c>
      <c r="E349" s="15">
        <v>11473</v>
      </c>
      <c r="F349" s="19">
        <v>5205</v>
      </c>
      <c r="G349" s="20">
        <f t="shared" si="12"/>
        <v>0.67839849</v>
      </c>
      <c r="H349" s="20">
        <v>0.0920400623519202</v>
      </c>
      <c r="I349" s="43">
        <f>G349+H349</f>
        <v>0.77043855235192</v>
      </c>
    </row>
    <row r="350" ht="15.75" spans="1:9">
      <c r="A350" s="83"/>
      <c r="B350" s="83"/>
      <c r="C350" s="11" t="s">
        <v>65</v>
      </c>
      <c r="D350" s="13" t="s">
        <v>193</v>
      </c>
      <c r="E350" s="15">
        <v>18719</v>
      </c>
      <c r="F350" s="19">
        <v>497</v>
      </c>
      <c r="G350" s="20">
        <f t="shared" si="12"/>
        <v>1.10685447</v>
      </c>
      <c r="H350" s="20">
        <v>0.0111701610485422</v>
      </c>
      <c r="I350" s="43">
        <f>G350+H350</f>
        <v>1.11802463104854</v>
      </c>
    </row>
    <row r="351" ht="15.75" spans="1:9">
      <c r="A351" s="83"/>
      <c r="B351" s="83"/>
      <c r="C351" s="184"/>
      <c r="D351" s="13" t="s">
        <v>201</v>
      </c>
      <c r="E351" s="15">
        <v>4444</v>
      </c>
      <c r="F351" s="15" t="s">
        <v>29</v>
      </c>
      <c r="G351" s="20">
        <f t="shared" si="12"/>
        <v>0.26277372</v>
      </c>
      <c r="H351" s="15" t="s">
        <v>29</v>
      </c>
      <c r="I351" s="43">
        <f>G351</f>
        <v>0.26277372</v>
      </c>
    </row>
    <row r="352" ht="15.75" spans="1:9">
      <c r="A352" s="83"/>
      <c r="B352" s="83"/>
      <c r="C352" s="184"/>
      <c r="D352" s="13" t="s">
        <v>78</v>
      </c>
      <c r="E352" s="15">
        <v>21165</v>
      </c>
      <c r="F352" s="19">
        <v>4820</v>
      </c>
      <c r="G352" s="20">
        <f t="shared" si="12"/>
        <v>1.25148645</v>
      </c>
      <c r="H352" s="20">
        <v>0.123040221099344</v>
      </c>
      <c r="I352" s="43">
        <f>G352+H352</f>
        <v>1.37452667109934</v>
      </c>
    </row>
    <row r="353" ht="15.75" spans="1:9">
      <c r="A353" s="83"/>
      <c r="B353" s="83"/>
      <c r="C353" s="184"/>
      <c r="D353" s="13" t="s">
        <v>174</v>
      </c>
      <c r="E353" s="15">
        <v>23315</v>
      </c>
      <c r="F353" s="19">
        <v>6535</v>
      </c>
      <c r="G353" s="20">
        <f t="shared" si="12"/>
        <v>1.37861595</v>
      </c>
      <c r="H353" s="20">
        <v>0.18257776801838</v>
      </c>
      <c r="I353" s="43">
        <f>G353+H353</f>
        <v>1.56119371801838</v>
      </c>
    </row>
    <row r="354" ht="15.75" spans="1:9">
      <c r="A354" s="83"/>
      <c r="B354" s="83"/>
      <c r="C354" s="184"/>
      <c r="D354" s="13" t="s">
        <v>176</v>
      </c>
      <c r="E354" s="15">
        <v>3908</v>
      </c>
      <c r="F354" s="15" t="s">
        <v>29</v>
      </c>
      <c r="G354" s="20">
        <f t="shared" si="12"/>
        <v>0.23108004</v>
      </c>
      <c r="H354" s="15" t="s">
        <v>29</v>
      </c>
      <c r="I354" s="43">
        <f>G354</f>
        <v>0.23108004</v>
      </c>
    </row>
    <row r="355" ht="15.75" spans="1:9">
      <c r="A355" s="83"/>
      <c r="B355" s="83"/>
      <c r="C355" s="184"/>
      <c r="D355" s="13" t="s">
        <v>189</v>
      </c>
      <c r="E355" s="15">
        <v>556366</v>
      </c>
      <c r="F355" s="19">
        <v>4684</v>
      </c>
      <c r="G355" s="20">
        <f t="shared" si="12"/>
        <v>32.89792158</v>
      </c>
      <c r="H355" s="20">
        <v>0.0521028626420843</v>
      </c>
      <c r="I355" s="43">
        <f>G355+H355</f>
        <v>32.9500244426421</v>
      </c>
    </row>
    <row r="356" ht="15.75" spans="1:9">
      <c r="A356" s="83"/>
      <c r="B356" s="83"/>
      <c r="C356" s="184"/>
      <c r="D356" s="13" t="s">
        <v>190</v>
      </c>
      <c r="E356" s="15">
        <v>87585</v>
      </c>
      <c r="F356" s="15" t="s">
        <v>29</v>
      </c>
      <c r="G356" s="20">
        <f t="shared" si="12"/>
        <v>5.17890105</v>
      </c>
      <c r="H356" s="15" t="s">
        <v>29</v>
      </c>
      <c r="I356" s="43">
        <f t="shared" ref="I356:I357" si="14">G356</f>
        <v>5.17890105</v>
      </c>
    </row>
    <row r="357" ht="15.75" spans="1:9">
      <c r="A357" s="83"/>
      <c r="B357" s="83"/>
      <c r="C357" s="184"/>
      <c r="D357" s="13" t="s">
        <v>202</v>
      </c>
      <c r="E357" s="15">
        <v>4995</v>
      </c>
      <c r="F357" s="15" t="s">
        <v>29</v>
      </c>
      <c r="G357" s="20">
        <f t="shared" si="12"/>
        <v>0.29535435</v>
      </c>
      <c r="H357" s="15" t="s">
        <v>29</v>
      </c>
      <c r="I357" s="43">
        <f t="shared" si="14"/>
        <v>0.29535435</v>
      </c>
    </row>
    <row r="358" ht="15.75" spans="1:9">
      <c r="A358" s="83"/>
      <c r="B358" s="83"/>
      <c r="C358" s="184"/>
      <c r="D358" s="13" t="s">
        <v>181</v>
      </c>
      <c r="E358" s="15">
        <v>8577</v>
      </c>
      <c r="F358" s="19">
        <v>9436</v>
      </c>
      <c r="G358" s="20">
        <f t="shared" si="12"/>
        <v>0.50715801</v>
      </c>
      <c r="H358" s="20">
        <v>0.207640289786062</v>
      </c>
      <c r="I358" s="43">
        <f>G358+H358</f>
        <v>0.714798299786062</v>
      </c>
    </row>
    <row r="359" ht="15.75" spans="1:9">
      <c r="A359" s="83"/>
      <c r="B359" s="83"/>
      <c r="C359" s="184"/>
      <c r="D359" s="13" t="s">
        <v>203</v>
      </c>
      <c r="E359" s="15">
        <v>7438</v>
      </c>
      <c r="F359" s="15" t="s">
        <v>29</v>
      </c>
      <c r="G359" s="20">
        <f t="shared" si="12"/>
        <v>0.43980894</v>
      </c>
      <c r="H359" s="15" t="s">
        <v>29</v>
      </c>
      <c r="I359" s="43">
        <f t="shared" ref="I359:I360" si="15">G359</f>
        <v>0.43980894</v>
      </c>
    </row>
    <row r="360" ht="15.75" spans="1:9">
      <c r="A360" s="83"/>
      <c r="B360" s="83"/>
      <c r="C360" s="184"/>
      <c r="D360" s="13" t="s">
        <v>204</v>
      </c>
      <c r="E360" s="15">
        <v>5263</v>
      </c>
      <c r="F360" s="15" t="s">
        <v>29</v>
      </c>
      <c r="G360" s="20">
        <f t="shared" si="12"/>
        <v>0.31120119</v>
      </c>
      <c r="H360" s="15" t="s">
        <v>29</v>
      </c>
      <c r="I360" s="43">
        <f t="shared" si="15"/>
        <v>0.31120119</v>
      </c>
    </row>
    <row r="361" ht="15.75" spans="1:9">
      <c r="A361" s="83"/>
      <c r="B361" s="83"/>
      <c r="C361" s="184"/>
      <c r="D361" s="13" t="s">
        <v>65</v>
      </c>
      <c r="E361" s="15">
        <v>232517</v>
      </c>
      <c r="F361" s="19">
        <v>140898</v>
      </c>
      <c r="G361" s="20">
        <f t="shared" si="12"/>
        <v>13.74873021</v>
      </c>
      <c r="H361" s="20">
        <v>1.37104938330322</v>
      </c>
      <c r="I361" s="43">
        <f>G361+H361</f>
        <v>15.1197795933032</v>
      </c>
    </row>
    <row r="362" ht="15.75" spans="1:9">
      <c r="A362" s="83"/>
      <c r="B362" s="83"/>
      <c r="C362" s="184"/>
      <c r="D362" s="13" t="s">
        <v>178</v>
      </c>
      <c r="E362" s="15">
        <v>7383</v>
      </c>
      <c r="F362" s="15" t="s">
        <v>29</v>
      </c>
      <c r="G362" s="20">
        <f t="shared" si="12"/>
        <v>0.43655679</v>
      </c>
      <c r="H362" s="15" t="s">
        <v>29</v>
      </c>
      <c r="I362" s="43">
        <f t="shared" ref="I362:I363" si="16">G362</f>
        <v>0.43655679</v>
      </c>
    </row>
    <row r="363" ht="15.75" spans="1:9">
      <c r="A363" s="83"/>
      <c r="B363" s="83"/>
      <c r="C363" s="184"/>
      <c r="D363" s="13" t="s">
        <v>66</v>
      </c>
      <c r="E363" s="15">
        <v>3470</v>
      </c>
      <c r="F363" s="15" t="s">
        <v>29</v>
      </c>
      <c r="G363" s="20">
        <f t="shared" si="12"/>
        <v>0.2051811</v>
      </c>
      <c r="H363" s="15" t="s">
        <v>29</v>
      </c>
      <c r="I363" s="43">
        <f t="shared" si="16"/>
        <v>0.2051811</v>
      </c>
    </row>
    <row r="364" ht="15.75" spans="1:9">
      <c r="A364" s="83"/>
      <c r="B364" s="83"/>
      <c r="C364" s="184"/>
      <c r="D364" s="13" t="s">
        <v>191</v>
      </c>
      <c r="E364" s="15">
        <v>21633</v>
      </c>
      <c r="F364" s="19">
        <v>7094</v>
      </c>
      <c r="G364" s="20">
        <f t="shared" si="12"/>
        <v>1.27915929</v>
      </c>
      <c r="H364" s="20">
        <v>0.0959020299977781</v>
      </c>
      <c r="I364" s="43">
        <f>G364+H364</f>
        <v>1.37506131999778</v>
      </c>
    </row>
    <row r="365" ht="15.75" spans="1:9">
      <c r="A365" s="83"/>
      <c r="B365" s="83"/>
      <c r="C365" s="184"/>
      <c r="D365" s="13" t="s">
        <v>198</v>
      </c>
      <c r="E365" s="15">
        <v>6799</v>
      </c>
      <c r="F365" s="15" t="s">
        <v>29</v>
      </c>
      <c r="G365" s="20">
        <f t="shared" si="12"/>
        <v>0.40202487</v>
      </c>
      <c r="H365" s="15" t="s">
        <v>29</v>
      </c>
      <c r="I365" s="43">
        <f>G365</f>
        <v>0.40202487</v>
      </c>
    </row>
    <row r="366" ht="15.75" spans="1:9">
      <c r="A366" s="83"/>
      <c r="B366" s="83"/>
      <c r="C366" s="184"/>
      <c r="D366" s="13" t="s">
        <v>192</v>
      </c>
      <c r="E366" s="15">
        <v>29756</v>
      </c>
      <c r="F366" s="19">
        <v>518</v>
      </c>
      <c r="G366" s="20">
        <f t="shared" si="12"/>
        <v>1.75947228</v>
      </c>
      <c r="H366" s="20">
        <v>0.00961591979861381</v>
      </c>
      <c r="I366" s="43">
        <f>G366+H366</f>
        <v>1.76908819979861</v>
      </c>
    </row>
    <row r="367" ht="15.75" spans="1:9">
      <c r="A367" s="83"/>
      <c r="B367" s="83"/>
      <c r="C367" s="184"/>
      <c r="D367" s="13" t="s">
        <v>205</v>
      </c>
      <c r="E367" s="15">
        <v>2988</v>
      </c>
      <c r="F367" s="15" t="s">
        <v>29</v>
      </c>
      <c r="G367" s="20">
        <f t="shared" si="12"/>
        <v>0.17668044</v>
      </c>
      <c r="H367" s="15" t="s">
        <v>29</v>
      </c>
      <c r="I367" s="43">
        <f>G367</f>
        <v>0.17668044</v>
      </c>
    </row>
    <row r="368" ht="15.75" spans="1:9">
      <c r="A368" s="83"/>
      <c r="B368" s="83"/>
      <c r="C368" s="184"/>
      <c r="D368" s="13" t="s">
        <v>177</v>
      </c>
      <c r="E368" s="15">
        <v>8515</v>
      </c>
      <c r="F368" s="15" t="s">
        <v>29</v>
      </c>
      <c r="G368" s="20">
        <f t="shared" si="12"/>
        <v>0.50349195</v>
      </c>
      <c r="H368" s="15" t="s">
        <v>29</v>
      </c>
      <c r="I368" s="43">
        <f t="shared" ref="I368:I369" si="17">G368</f>
        <v>0.50349195</v>
      </c>
    </row>
    <row r="369" ht="15.75" spans="1:9">
      <c r="A369" s="83"/>
      <c r="B369" s="83"/>
      <c r="C369" s="184"/>
      <c r="D369" s="13" t="s">
        <v>206</v>
      </c>
      <c r="E369" s="15">
        <v>2747</v>
      </c>
      <c r="F369" s="15" t="s">
        <v>29</v>
      </c>
      <c r="G369" s="20">
        <f t="shared" si="12"/>
        <v>0.16243011</v>
      </c>
      <c r="H369" s="15" t="s">
        <v>29</v>
      </c>
      <c r="I369" s="43">
        <f t="shared" si="17"/>
        <v>0.16243011</v>
      </c>
    </row>
    <row r="370" ht="15.75" spans="1:9">
      <c r="A370" s="83"/>
      <c r="B370" s="83"/>
      <c r="C370" s="184"/>
      <c r="D370" s="13" t="s">
        <v>182</v>
      </c>
      <c r="E370" s="15">
        <v>8812</v>
      </c>
      <c r="F370" s="19">
        <v>26333</v>
      </c>
      <c r="G370" s="20">
        <f t="shared" si="12"/>
        <v>0.52105356</v>
      </c>
      <c r="H370" s="20">
        <v>0.461281459716642</v>
      </c>
      <c r="I370" s="43">
        <f>G370+H370</f>
        <v>0.982335019716642</v>
      </c>
    </row>
    <row r="371" ht="15.75" spans="1:9">
      <c r="A371" s="83"/>
      <c r="B371" s="83"/>
      <c r="C371" s="184"/>
      <c r="D371" s="13" t="s">
        <v>175</v>
      </c>
      <c r="E371" s="15">
        <v>4413</v>
      </c>
      <c r="F371" s="19">
        <v>19314</v>
      </c>
      <c r="G371" s="20">
        <f t="shared" si="12"/>
        <v>0.26094069</v>
      </c>
      <c r="H371" s="20">
        <v>0.422717687476452</v>
      </c>
      <c r="I371" s="43">
        <f>G371+H371</f>
        <v>0.683658377476452</v>
      </c>
    </row>
    <row r="372" ht="15.75" spans="1:9">
      <c r="A372" s="83"/>
      <c r="B372" s="83"/>
      <c r="C372" s="185"/>
      <c r="D372" s="13" t="s">
        <v>207</v>
      </c>
      <c r="E372" s="15">
        <v>8847</v>
      </c>
      <c r="F372" s="15" t="s">
        <v>29</v>
      </c>
      <c r="G372" s="20">
        <f t="shared" si="12"/>
        <v>0.52312311</v>
      </c>
      <c r="H372" s="15" t="s">
        <v>29</v>
      </c>
      <c r="I372" s="43">
        <f>G372</f>
        <v>0.52312311</v>
      </c>
    </row>
    <row r="373" ht="15.75" spans="1:9">
      <c r="A373" s="83"/>
      <c r="B373" s="83"/>
      <c r="C373" s="10" t="s">
        <v>95</v>
      </c>
      <c r="D373" s="13" t="s">
        <v>57</v>
      </c>
      <c r="E373" s="15">
        <v>20367</v>
      </c>
      <c r="F373" s="19">
        <v>5273</v>
      </c>
      <c r="G373" s="20">
        <f t="shared" si="12"/>
        <v>1.20430071</v>
      </c>
      <c r="H373" s="20">
        <v>0.14049207498442</v>
      </c>
      <c r="I373" s="43">
        <f>G373+H373</f>
        <v>1.34479278498442</v>
      </c>
    </row>
    <row r="374" ht="15.75" spans="1:9">
      <c r="A374" s="83"/>
      <c r="B374" s="83"/>
      <c r="C374" s="11" t="s">
        <v>184</v>
      </c>
      <c r="D374" s="186" t="s">
        <v>164</v>
      </c>
      <c r="E374" s="187">
        <v>4240</v>
      </c>
      <c r="F374" s="19">
        <v>3777</v>
      </c>
      <c r="G374" s="20">
        <f t="shared" si="12"/>
        <v>0.2507112</v>
      </c>
      <c r="H374" s="20">
        <v>0.139539683383662</v>
      </c>
      <c r="I374" s="43">
        <f>G374+H374</f>
        <v>0.390250883383662</v>
      </c>
    </row>
    <row r="375" ht="15.75" spans="1:9">
      <c r="A375" s="83"/>
      <c r="B375" s="83"/>
      <c r="C375" s="184"/>
      <c r="D375" s="13" t="s">
        <v>163</v>
      </c>
      <c r="E375" s="15">
        <v>31788</v>
      </c>
      <c r="F375" s="19">
        <v>3792</v>
      </c>
      <c r="G375" s="20">
        <f t="shared" si="12"/>
        <v>1.87962444</v>
      </c>
      <c r="H375" s="20">
        <v>0.13261895479446</v>
      </c>
      <c r="I375" s="43">
        <f>G375+H375</f>
        <v>2.01224339479446</v>
      </c>
    </row>
    <row r="376" ht="15.75" spans="1:9">
      <c r="A376" s="83"/>
      <c r="B376" s="83"/>
      <c r="C376" s="184"/>
      <c r="D376" s="13" t="s">
        <v>158</v>
      </c>
      <c r="E376" s="15">
        <v>12477</v>
      </c>
      <c r="F376" s="19">
        <v>4278</v>
      </c>
      <c r="G376" s="20">
        <f t="shared" si="12"/>
        <v>0.73776501</v>
      </c>
      <c r="H376" s="20">
        <v>0.148400796239214</v>
      </c>
      <c r="I376" s="43">
        <f>G376+H376</f>
        <v>0.886165806239214</v>
      </c>
    </row>
    <row r="377" ht="15.75" spans="1:9">
      <c r="A377" s="83"/>
      <c r="B377" s="83"/>
      <c r="C377" s="184"/>
      <c r="D377" s="13" t="s">
        <v>208</v>
      </c>
      <c r="E377" s="15">
        <v>5201</v>
      </c>
      <c r="F377" s="15" t="s">
        <v>29</v>
      </c>
      <c r="G377" s="20">
        <f t="shared" si="12"/>
        <v>0.30753513</v>
      </c>
      <c r="H377" s="15" t="s">
        <v>29</v>
      </c>
      <c r="I377" s="43">
        <f t="shared" ref="I377:I378" si="18">G377</f>
        <v>0.30753513</v>
      </c>
    </row>
    <row r="378" ht="15.75" spans="1:9">
      <c r="A378" s="83"/>
      <c r="B378" s="83"/>
      <c r="C378" s="184"/>
      <c r="D378" s="13" t="s">
        <v>209</v>
      </c>
      <c r="E378" s="15">
        <v>3787</v>
      </c>
      <c r="F378" s="15" t="s">
        <v>29</v>
      </c>
      <c r="G378" s="20">
        <f t="shared" si="12"/>
        <v>0.22392531</v>
      </c>
      <c r="H378" s="15" t="s">
        <v>29</v>
      </c>
      <c r="I378" s="43">
        <f t="shared" si="18"/>
        <v>0.22392531</v>
      </c>
    </row>
    <row r="379" ht="15.75" spans="1:9">
      <c r="A379" s="83"/>
      <c r="B379" s="83"/>
      <c r="C379" s="185"/>
      <c r="D379" s="13" t="s">
        <v>165</v>
      </c>
      <c r="E379" s="15">
        <v>5332</v>
      </c>
      <c r="F379" s="19">
        <v>3970</v>
      </c>
      <c r="G379" s="20">
        <f t="shared" si="12"/>
        <v>0.31528116</v>
      </c>
      <c r="H379" s="20">
        <v>0.140874055004411</v>
      </c>
      <c r="I379" s="43">
        <f>G379+H379</f>
        <v>0.456155215004411</v>
      </c>
    </row>
    <row r="380" ht="15.75" spans="1:9">
      <c r="A380" s="83"/>
      <c r="B380" s="83"/>
      <c r="C380" s="71" t="s">
        <v>58</v>
      </c>
      <c r="D380" s="13" t="s">
        <v>157</v>
      </c>
      <c r="E380" s="15">
        <v>4762</v>
      </c>
      <c r="F380" s="15" t="s">
        <v>29</v>
      </c>
      <c r="G380" s="20">
        <f t="shared" si="12"/>
        <v>0.28157706</v>
      </c>
      <c r="H380" s="15" t="s">
        <v>29</v>
      </c>
      <c r="I380" s="43">
        <f>G380</f>
        <v>0.28157706</v>
      </c>
    </row>
    <row r="381" ht="15.75" spans="1:9">
      <c r="A381" s="83"/>
      <c r="B381" s="83"/>
      <c r="C381" s="11" t="s">
        <v>27</v>
      </c>
      <c r="D381" s="13" t="s">
        <v>31</v>
      </c>
      <c r="E381" s="15">
        <v>11765</v>
      </c>
      <c r="F381" s="19">
        <v>3332</v>
      </c>
      <c r="G381" s="20">
        <f t="shared" si="12"/>
        <v>0.69566445</v>
      </c>
      <c r="H381" s="20">
        <v>0.0990976292813611</v>
      </c>
      <c r="I381" s="43">
        <f>G381+H381</f>
        <v>0.794762079281361</v>
      </c>
    </row>
    <row r="382" ht="15.75" spans="1:9">
      <c r="A382" s="83"/>
      <c r="B382" s="83"/>
      <c r="C382" s="184"/>
      <c r="D382" s="13" t="s">
        <v>33</v>
      </c>
      <c r="E382" s="15">
        <v>22853</v>
      </c>
      <c r="F382" s="19">
        <v>2625</v>
      </c>
      <c r="G382" s="20">
        <f t="shared" si="12"/>
        <v>1.35129789</v>
      </c>
      <c r="H382" s="20">
        <v>0.0894330219420784</v>
      </c>
      <c r="I382" s="43">
        <f>G382+H382</f>
        <v>1.44073091194208</v>
      </c>
    </row>
    <row r="383" ht="15.75" spans="1:9">
      <c r="A383" s="83"/>
      <c r="B383" s="83"/>
      <c r="C383" s="184"/>
      <c r="D383" s="13" t="s">
        <v>161</v>
      </c>
      <c r="E383" s="15">
        <v>50118</v>
      </c>
      <c r="F383" s="19">
        <v>5059</v>
      </c>
      <c r="G383" s="20">
        <f t="shared" si="12"/>
        <v>2.96347734</v>
      </c>
      <c r="H383" s="20">
        <v>0.10735976423783</v>
      </c>
      <c r="I383" s="43">
        <f>G383+H383</f>
        <v>3.07083710423783</v>
      </c>
    </row>
    <row r="384" ht="15.75" spans="1:9">
      <c r="A384" s="83"/>
      <c r="B384" s="83"/>
      <c r="C384" s="184"/>
      <c r="D384" s="13" t="s">
        <v>210</v>
      </c>
      <c r="E384" s="15">
        <v>60703</v>
      </c>
      <c r="F384" s="19">
        <v>973</v>
      </c>
      <c r="G384" s="20">
        <f t="shared" si="12"/>
        <v>3.58936839</v>
      </c>
      <c r="H384" s="20">
        <v>0.0177107565120581</v>
      </c>
      <c r="I384" s="43">
        <f>G384+H384</f>
        <v>3.60707914651206</v>
      </c>
    </row>
    <row r="385" ht="15.75" spans="1:9">
      <c r="A385" s="83"/>
      <c r="B385" s="83"/>
      <c r="C385" s="184"/>
      <c r="D385" s="13" t="s">
        <v>211</v>
      </c>
      <c r="E385" s="15">
        <v>7657</v>
      </c>
      <c r="F385" s="19">
        <v>4951</v>
      </c>
      <c r="G385" s="20">
        <f t="shared" si="12"/>
        <v>0.45275841</v>
      </c>
      <c r="H385" s="20">
        <v>0.126854075035432</v>
      </c>
      <c r="I385" s="43">
        <f>G385+H385</f>
        <v>0.579612485035432</v>
      </c>
    </row>
    <row r="386" ht="15.75" spans="1:9">
      <c r="A386" s="83"/>
      <c r="B386" s="83"/>
      <c r="C386" s="184"/>
      <c r="D386" s="13" t="s">
        <v>212</v>
      </c>
      <c r="E386" s="15">
        <v>6732</v>
      </c>
      <c r="F386" s="15" t="s">
        <v>29</v>
      </c>
      <c r="G386" s="20">
        <f t="shared" si="12"/>
        <v>0.39806316</v>
      </c>
      <c r="H386" s="15" t="s">
        <v>29</v>
      </c>
      <c r="I386" s="43">
        <f>G386</f>
        <v>0.39806316</v>
      </c>
    </row>
    <row r="387" ht="15.75" spans="1:9">
      <c r="A387" s="83"/>
      <c r="B387" s="83"/>
      <c r="C387" s="184"/>
      <c r="D387" s="13" t="s">
        <v>187</v>
      </c>
      <c r="E387" s="15">
        <v>7062</v>
      </c>
      <c r="F387" s="19">
        <v>2178</v>
      </c>
      <c r="G387" s="20">
        <f t="shared" si="12"/>
        <v>0.41757606</v>
      </c>
      <c r="H387" s="20">
        <v>0.0710220990250686</v>
      </c>
      <c r="I387" s="43">
        <f>G387+H387</f>
        <v>0.488598159025069</v>
      </c>
    </row>
    <row r="388" ht="15.75" spans="1:9">
      <c r="A388" s="83"/>
      <c r="B388" s="83"/>
      <c r="C388" s="184"/>
      <c r="D388" s="13" t="s">
        <v>213</v>
      </c>
      <c r="E388" s="15">
        <v>9600</v>
      </c>
      <c r="F388" s="15" t="s">
        <v>29</v>
      </c>
      <c r="G388" s="20">
        <f t="shared" si="12"/>
        <v>0.567648</v>
      </c>
      <c r="H388" s="15" t="s">
        <v>29</v>
      </c>
      <c r="I388" s="43">
        <f>G388</f>
        <v>0.567648</v>
      </c>
    </row>
    <row r="389" ht="15.75" spans="1:9">
      <c r="A389" s="83"/>
      <c r="B389" s="83"/>
      <c r="C389" s="184"/>
      <c r="D389" s="13" t="s">
        <v>27</v>
      </c>
      <c r="E389" s="15">
        <v>758181</v>
      </c>
      <c r="F389" s="19">
        <v>23878</v>
      </c>
      <c r="G389" s="20">
        <f t="shared" si="12"/>
        <v>44.83124253</v>
      </c>
      <c r="H389" s="20">
        <v>0.655736938699698</v>
      </c>
      <c r="I389" s="43">
        <f>G389+H389</f>
        <v>45.4869794686997</v>
      </c>
    </row>
    <row r="390" ht="15.75" spans="1:9">
      <c r="A390" s="83"/>
      <c r="B390" s="83"/>
      <c r="C390" s="184"/>
      <c r="D390" s="13" t="s">
        <v>160</v>
      </c>
      <c r="E390" s="15">
        <v>13143</v>
      </c>
      <c r="F390" s="19">
        <v>4629</v>
      </c>
      <c r="G390" s="20">
        <f t="shared" si="12"/>
        <v>0.77714559</v>
      </c>
      <c r="H390" s="20">
        <v>0.115837155870994</v>
      </c>
      <c r="I390" s="43">
        <f>G390+H390</f>
        <v>0.892982745870994</v>
      </c>
    </row>
    <row r="391" ht="15.75" spans="1:9">
      <c r="A391" s="83"/>
      <c r="B391" s="83"/>
      <c r="C391" s="185"/>
      <c r="D391" s="13" t="s">
        <v>28</v>
      </c>
      <c r="E391" s="15">
        <v>26635</v>
      </c>
      <c r="F391" s="19">
        <v>6396</v>
      </c>
      <c r="G391" s="20">
        <f t="shared" si="12"/>
        <v>1.57492755</v>
      </c>
      <c r="H391" s="20">
        <v>0.135886749870125</v>
      </c>
      <c r="I391" s="43">
        <f>G391+H391</f>
        <v>1.71081429987013</v>
      </c>
    </row>
    <row r="392" ht="15.75" spans="1:9">
      <c r="A392" s="83"/>
      <c r="B392" s="83"/>
      <c r="C392" s="11" t="s">
        <v>162</v>
      </c>
      <c r="D392" s="13" t="s">
        <v>196</v>
      </c>
      <c r="E392" s="15">
        <v>8519</v>
      </c>
      <c r="F392" s="19">
        <v>1547</v>
      </c>
      <c r="G392" s="20">
        <f t="shared" si="12"/>
        <v>0.50372847</v>
      </c>
      <c r="H392" s="20">
        <v>0.0364423847193049</v>
      </c>
      <c r="I392" s="43">
        <f>G392+H392</f>
        <v>0.540170854719305</v>
      </c>
    </row>
    <row r="393" ht="15.75" spans="1:9">
      <c r="A393" s="83"/>
      <c r="B393" s="83"/>
      <c r="C393" s="22"/>
      <c r="D393" s="125" t="s">
        <v>173</v>
      </c>
      <c r="E393" s="15">
        <v>6418</v>
      </c>
      <c r="F393" s="19">
        <v>1179</v>
      </c>
      <c r="G393" s="20">
        <f t="shared" si="12"/>
        <v>0.37949634</v>
      </c>
      <c r="H393" s="20">
        <v>0.0339492002032059</v>
      </c>
      <c r="I393" s="43">
        <f>G393+H393</f>
        <v>0.413445540203206</v>
      </c>
    </row>
    <row r="394" ht="15.75" spans="1:9">
      <c r="A394" s="83"/>
      <c r="B394" s="83"/>
      <c r="C394" s="22"/>
      <c r="D394" s="13" t="s">
        <v>169</v>
      </c>
      <c r="E394" s="15">
        <v>3751</v>
      </c>
      <c r="F394" s="15" t="s">
        <v>29</v>
      </c>
      <c r="G394" s="20">
        <f t="shared" si="12"/>
        <v>0.22179663</v>
      </c>
      <c r="H394" s="15" t="s">
        <v>29</v>
      </c>
      <c r="I394" s="43">
        <f>G394</f>
        <v>0.22179663</v>
      </c>
    </row>
    <row r="395" ht="15.75" spans="1:9">
      <c r="A395" s="83"/>
      <c r="B395" s="83"/>
      <c r="C395" s="22"/>
      <c r="D395" s="13" t="s">
        <v>170</v>
      </c>
      <c r="E395" s="15">
        <v>11517</v>
      </c>
      <c r="F395" s="19">
        <v>2454</v>
      </c>
      <c r="G395" s="20">
        <f t="shared" si="12"/>
        <v>0.68100021</v>
      </c>
      <c r="H395" s="20">
        <v>0.0688549036047685</v>
      </c>
      <c r="I395" s="43">
        <f t="shared" ref="I395:I433" si="19">G395+H395</f>
        <v>0.749855113604769</v>
      </c>
    </row>
    <row r="396" ht="15.75" spans="1:9">
      <c r="A396" s="83"/>
      <c r="B396" s="83"/>
      <c r="C396" s="22"/>
      <c r="D396" s="125" t="s">
        <v>167</v>
      </c>
      <c r="E396" s="15">
        <v>34441</v>
      </c>
      <c r="F396" s="19">
        <v>3998</v>
      </c>
      <c r="G396" s="20">
        <f t="shared" si="12"/>
        <v>2.03649633</v>
      </c>
      <c r="H396" s="20">
        <v>0.0942210353908366</v>
      </c>
      <c r="I396" s="43">
        <f t="shared" si="19"/>
        <v>2.13071736539084</v>
      </c>
    </row>
    <row r="397" ht="15.75" spans="1:9">
      <c r="A397" s="83"/>
      <c r="B397" s="83"/>
      <c r="C397" s="22"/>
      <c r="D397" s="13" t="s">
        <v>197</v>
      </c>
      <c r="E397" s="15">
        <v>11834</v>
      </c>
      <c r="F397" s="19">
        <v>3273</v>
      </c>
      <c r="G397" s="20">
        <f t="shared" si="12"/>
        <v>0.69974442</v>
      </c>
      <c r="H397" s="20">
        <v>0.121718312786476</v>
      </c>
      <c r="I397" s="43">
        <f t="shared" si="19"/>
        <v>0.821462732786476</v>
      </c>
    </row>
    <row r="398" ht="15.75" spans="1:9">
      <c r="A398" s="83"/>
      <c r="B398" s="83"/>
      <c r="C398" s="22"/>
      <c r="D398" s="125" t="s">
        <v>166</v>
      </c>
      <c r="E398" s="15">
        <v>15157</v>
      </c>
      <c r="F398" s="19">
        <v>2168</v>
      </c>
      <c r="G398" s="20">
        <f t="shared" si="12"/>
        <v>0.89623341</v>
      </c>
      <c r="H398" s="20">
        <v>0.0674106309317631</v>
      </c>
      <c r="I398" s="43">
        <f t="shared" si="19"/>
        <v>0.963644040931763</v>
      </c>
    </row>
    <row r="399" ht="15.75" spans="1:9">
      <c r="A399" s="84"/>
      <c r="B399" s="84"/>
      <c r="C399" s="23"/>
      <c r="D399" s="125" t="s">
        <v>188</v>
      </c>
      <c r="E399" s="15">
        <v>143770</v>
      </c>
      <c r="F399" s="19">
        <v>21672</v>
      </c>
      <c r="G399" s="20">
        <f t="shared" si="12"/>
        <v>8.5011201</v>
      </c>
      <c r="H399" s="20">
        <v>0.433110588199919</v>
      </c>
      <c r="I399" s="43">
        <f t="shared" si="19"/>
        <v>8.93423068819992</v>
      </c>
    </row>
    <row r="400" ht="15.75" spans="1:9">
      <c r="A400" s="70">
        <v>4</v>
      </c>
      <c r="B400" s="70">
        <v>2011</v>
      </c>
      <c r="C400" s="11" t="s">
        <v>48</v>
      </c>
      <c r="D400" s="13" t="s">
        <v>48</v>
      </c>
      <c r="E400" s="15">
        <v>427333</v>
      </c>
      <c r="F400" s="19">
        <v>20497</v>
      </c>
      <c r="G400" s="20">
        <f t="shared" si="12"/>
        <v>25.26820029</v>
      </c>
      <c r="H400" s="20">
        <v>0.26037857175</v>
      </c>
      <c r="I400" s="43">
        <f t="shared" si="19"/>
        <v>25.52857886175</v>
      </c>
    </row>
    <row r="401" ht="15.75" spans="1:9">
      <c r="A401" s="83"/>
      <c r="B401" s="83"/>
      <c r="C401" s="184"/>
      <c r="D401" s="13" t="s">
        <v>195</v>
      </c>
      <c r="E401" s="15">
        <v>11048</v>
      </c>
      <c r="F401" s="19">
        <v>27281</v>
      </c>
      <c r="G401" s="20">
        <f t="shared" si="12"/>
        <v>0.65326824</v>
      </c>
      <c r="H401" s="20">
        <v>0.075601939</v>
      </c>
      <c r="I401" s="43">
        <f t="shared" si="19"/>
        <v>0.728870179</v>
      </c>
    </row>
    <row r="402" ht="15.75" spans="1:9">
      <c r="A402" s="83"/>
      <c r="B402" s="83"/>
      <c r="C402" s="184"/>
      <c r="D402" s="13" t="s">
        <v>194</v>
      </c>
      <c r="E402" s="15">
        <v>17481</v>
      </c>
      <c r="F402" s="19">
        <v>3451</v>
      </c>
      <c r="G402" s="20">
        <f t="shared" si="12"/>
        <v>1.03365153</v>
      </c>
      <c r="H402" s="20">
        <v>0.1163467065</v>
      </c>
      <c r="I402" s="43">
        <f t="shared" si="19"/>
        <v>1.1499982365</v>
      </c>
    </row>
    <row r="403" ht="15.75" spans="1:9">
      <c r="A403" s="83"/>
      <c r="B403" s="83"/>
      <c r="C403" s="184"/>
      <c r="D403" s="13" t="s">
        <v>151</v>
      </c>
      <c r="E403" s="15">
        <v>18165</v>
      </c>
      <c r="F403" s="19">
        <v>19610</v>
      </c>
      <c r="G403" s="20">
        <f t="shared" ref="G403:G466" si="20">E403*162*365/POWER(10,9)</f>
        <v>1.07409645</v>
      </c>
      <c r="H403" s="20">
        <v>0.0997453385</v>
      </c>
      <c r="I403" s="43">
        <f t="shared" si="19"/>
        <v>1.1738417885</v>
      </c>
    </row>
    <row r="404" ht="15.75" spans="1:9">
      <c r="A404" s="83"/>
      <c r="B404" s="83"/>
      <c r="C404" s="184"/>
      <c r="D404" s="13" t="s">
        <v>149</v>
      </c>
      <c r="E404" s="15">
        <v>18405</v>
      </c>
      <c r="F404" s="19">
        <v>3643</v>
      </c>
      <c r="G404" s="20">
        <f t="shared" si="20"/>
        <v>1.08828765</v>
      </c>
      <c r="H404" s="20">
        <v>0.10845743225</v>
      </c>
      <c r="I404" s="43">
        <f t="shared" si="19"/>
        <v>1.19674508225</v>
      </c>
    </row>
    <row r="405" ht="15.75" spans="1:9">
      <c r="A405" s="83"/>
      <c r="B405" s="83"/>
      <c r="C405" s="184"/>
      <c r="D405" s="13" t="s">
        <v>155</v>
      </c>
      <c r="E405" s="15">
        <v>15156</v>
      </c>
      <c r="F405" s="19">
        <v>4587</v>
      </c>
      <c r="G405" s="20">
        <f t="shared" si="20"/>
        <v>0.89617428</v>
      </c>
      <c r="H405" s="20">
        <v>0.125340343</v>
      </c>
      <c r="I405" s="43">
        <f t="shared" si="19"/>
        <v>1.021514623</v>
      </c>
    </row>
    <row r="406" ht="15.75" spans="1:9">
      <c r="A406" s="83"/>
      <c r="B406" s="83"/>
      <c r="C406" s="184"/>
      <c r="D406" s="13" t="s">
        <v>199</v>
      </c>
      <c r="E406" s="71">
        <v>8505</v>
      </c>
      <c r="F406" s="19">
        <v>3132</v>
      </c>
      <c r="G406" s="20">
        <f t="shared" si="20"/>
        <v>0.50290065</v>
      </c>
      <c r="H406" s="20">
        <v>0.112136395</v>
      </c>
      <c r="I406" s="43">
        <f t="shared" si="19"/>
        <v>0.615037045</v>
      </c>
    </row>
    <row r="407" ht="15.75" spans="1:9">
      <c r="A407" s="83"/>
      <c r="B407" s="83"/>
      <c r="C407" s="184"/>
      <c r="D407" s="13" t="s">
        <v>153</v>
      </c>
      <c r="E407" s="15">
        <v>36450</v>
      </c>
      <c r="F407" s="19">
        <v>10907</v>
      </c>
      <c r="G407" s="20">
        <f t="shared" si="20"/>
        <v>2.1552885</v>
      </c>
      <c r="H407" s="20">
        <v>0.13971435325</v>
      </c>
      <c r="I407" s="43">
        <f t="shared" si="19"/>
        <v>2.29500285325</v>
      </c>
    </row>
    <row r="408" ht="15.75" spans="1:9">
      <c r="A408" s="83"/>
      <c r="B408" s="83"/>
      <c r="C408" s="184"/>
      <c r="D408" s="13" t="s">
        <v>154</v>
      </c>
      <c r="E408" s="15">
        <v>6349</v>
      </c>
      <c r="F408" s="19">
        <v>1384</v>
      </c>
      <c r="G408" s="20">
        <f t="shared" si="20"/>
        <v>0.37541637</v>
      </c>
      <c r="H408" s="20">
        <v>0.038679488</v>
      </c>
      <c r="I408" s="43">
        <f t="shared" si="19"/>
        <v>0.414095858</v>
      </c>
    </row>
    <row r="409" ht="15.75" spans="1:9">
      <c r="A409" s="83"/>
      <c r="B409" s="83"/>
      <c r="C409" s="184"/>
      <c r="D409" s="13" t="s">
        <v>186</v>
      </c>
      <c r="E409" s="15">
        <v>24636</v>
      </c>
      <c r="F409" s="19">
        <v>47133</v>
      </c>
      <c r="G409" s="20">
        <f t="shared" si="20"/>
        <v>1.45672668</v>
      </c>
      <c r="H409" s="20">
        <v>0.222291643</v>
      </c>
      <c r="I409" s="43">
        <f t="shared" si="19"/>
        <v>1.679018323</v>
      </c>
    </row>
    <row r="410" ht="15.75" spans="1:9">
      <c r="A410" s="83"/>
      <c r="B410" s="83"/>
      <c r="C410" s="184"/>
      <c r="D410" s="13" t="s">
        <v>200</v>
      </c>
      <c r="E410" s="15">
        <v>7484</v>
      </c>
      <c r="F410" s="19">
        <v>1938</v>
      </c>
      <c r="G410" s="20">
        <f t="shared" si="20"/>
        <v>0.44252892</v>
      </c>
      <c r="H410" s="20">
        <v>0.031958524</v>
      </c>
      <c r="I410" s="43">
        <f t="shared" si="19"/>
        <v>0.474487444</v>
      </c>
    </row>
    <row r="411" ht="15.75" spans="1:9">
      <c r="A411" s="83"/>
      <c r="B411" s="83"/>
      <c r="C411" s="185"/>
      <c r="D411" s="13" t="s">
        <v>148</v>
      </c>
      <c r="E411" s="15">
        <v>19968</v>
      </c>
      <c r="F411" s="19">
        <v>38977</v>
      </c>
      <c r="G411" s="20">
        <f t="shared" si="20"/>
        <v>1.18070784</v>
      </c>
      <c r="H411" s="20">
        <v>0.0854342725</v>
      </c>
      <c r="I411" s="43">
        <f t="shared" si="19"/>
        <v>1.2661421125</v>
      </c>
    </row>
    <row r="412" ht="15.75" spans="1:9">
      <c r="A412" s="83"/>
      <c r="B412" s="83"/>
      <c r="C412" s="10" t="s">
        <v>37</v>
      </c>
      <c r="D412" s="13" t="s">
        <v>39</v>
      </c>
      <c r="E412" s="15">
        <v>13783</v>
      </c>
      <c r="F412" s="19">
        <v>1838</v>
      </c>
      <c r="G412" s="20">
        <f t="shared" si="20"/>
        <v>0.81498879</v>
      </c>
      <c r="H412" s="20">
        <v>0.06658058075</v>
      </c>
      <c r="I412" s="43">
        <f t="shared" si="19"/>
        <v>0.88156937075</v>
      </c>
    </row>
    <row r="413" ht="15.75" spans="1:9">
      <c r="A413" s="83"/>
      <c r="B413" s="83"/>
      <c r="C413" s="11" t="s">
        <v>65</v>
      </c>
      <c r="D413" s="13" t="s">
        <v>193</v>
      </c>
      <c r="E413" s="15">
        <v>20384</v>
      </c>
      <c r="F413" s="19">
        <v>26059</v>
      </c>
      <c r="G413" s="20">
        <f t="shared" si="20"/>
        <v>1.20530592</v>
      </c>
      <c r="H413" s="20">
        <v>0.172726906</v>
      </c>
      <c r="I413" s="43">
        <f t="shared" si="19"/>
        <v>1.378032826</v>
      </c>
    </row>
    <row r="414" ht="15.75" spans="1:9">
      <c r="A414" s="83"/>
      <c r="B414" s="83"/>
      <c r="C414" s="22"/>
      <c r="D414" s="13" t="s">
        <v>201</v>
      </c>
      <c r="E414" s="15">
        <v>4851</v>
      </c>
      <c r="F414" s="19">
        <v>4816</v>
      </c>
      <c r="G414" s="20">
        <f t="shared" si="20"/>
        <v>0.28683963</v>
      </c>
      <c r="H414" s="20">
        <v>0.051606182</v>
      </c>
      <c r="I414" s="43">
        <f t="shared" si="19"/>
        <v>0.338445812</v>
      </c>
    </row>
    <row r="415" ht="15.75" spans="1:9">
      <c r="A415" s="83"/>
      <c r="B415" s="83"/>
      <c r="C415" s="22"/>
      <c r="D415" s="13" t="s">
        <v>78</v>
      </c>
      <c r="E415" s="15">
        <v>23648</v>
      </c>
      <c r="F415" s="19">
        <v>5908</v>
      </c>
      <c r="G415" s="20">
        <f t="shared" si="20"/>
        <v>1.39830624</v>
      </c>
      <c r="H415" s="20">
        <v>0.1124254385</v>
      </c>
      <c r="I415" s="43">
        <f t="shared" si="19"/>
        <v>1.5107316785</v>
      </c>
    </row>
    <row r="416" ht="15.75" spans="1:9">
      <c r="A416" s="83"/>
      <c r="B416" s="83"/>
      <c r="C416" s="22"/>
      <c r="D416" s="13" t="s">
        <v>174</v>
      </c>
      <c r="E416" s="15">
        <v>28536</v>
      </c>
      <c r="F416" s="19">
        <v>6416</v>
      </c>
      <c r="G416" s="20">
        <f t="shared" si="20"/>
        <v>1.68733368</v>
      </c>
      <c r="H416" s="20">
        <v>0.1670422135</v>
      </c>
      <c r="I416" s="43">
        <f t="shared" si="19"/>
        <v>1.8543758935</v>
      </c>
    </row>
    <row r="417" ht="15.75" spans="1:9">
      <c r="A417" s="83"/>
      <c r="B417" s="83"/>
      <c r="C417" s="22"/>
      <c r="D417" s="13" t="s">
        <v>176</v>
      </c>
      <c r="E417" s="15">
        <v>5165</v>
      </c>
      <c r="F417" s="19">
        <v>2325</v>
      </c>
      <c r="G417" s="20">
        <f t="shared" si="20"/>
        <v>0.30540645</v>
      </c>
      <c r="H417" s="20">
        <v>0.0582680525</v>
      </c>
      <c r="I417" s="43">
        <f t="shared" si="19"/>
        <v>0.3636745025</v>
      </c>
    </row>
    <row r="418" ht="15.75" spans="1:9">
      <c r="A418" s="83"/>
      <c r="B418" s="83"/>
      <c r="C418" s="22"/>
      <c r="D418" s="13" t="s">
        <v>189</v>
      </c>
      <c r="E418" s="15">
        <v>627979</v>
      </c>
      <c r="F418" s="19">
        <v>52595</v>
      </c>
      <c r="G418" s="20">
        <f t="shared" si="20"/>
        <v>37.13239827</v>
      </c>
      <c r="H418" s="20">
        <v>1.270973289</v>
      </c>
      <c r="I418" s="43">
        <f t="shared" si="19"/>
        <v>38.403371559</v>
      </c>
    </row>
    <row r="419" ht="15.75" spans="1:9">
      <c r="A419" s="83"/>
      <c r="B419" s="83"/>
      <c r="C419" s="22"/>
      <c r="D419" s="13" t="s">
        <v>190</v>
      </c>
      <c r="E419" s="15">
        <v>98008</v>
      </c>
      <c r="F419" s="19">
        <v>17594</v>
      </c>
      <c r="G419" s="20">
        <f t="shared" si="20"/>
        <v>5.79521304</v>
      </c>
      <c r="H419" s="20">
        <v>0.446330468</v>
      </c>
      <c r="I419" s="43">
        <f t="shared" si="19"/>
        <v>6.241543508</v>
      </c>
    </row>
    <row r="420" ht="15.75" spans="1:9">
      <c r="A420" s="83"/>
      <c r="B420" s="83"/>
      <c r="C420" s="22"/>
      <c r="D420" s="13" t="s">
        <v>202</v>
      </c>
      <c r="E420" s="15">
        <v>6358</v>
      </c>
      <c r="F420" s="19">
        <v>3379</v>
      </c>
      <c r="G420" s="20">
        <f t="shared" si="20"/>
        <v>0.37594854</v>
      </c>
      <c r="H420" s="20">
        <v>0.05264593925</v>
      </c>
      <c r="I420" s="43">
        <f t="shared" si="19"/>
        <v>0.42859447925</v>
      </c>
    </row>
    <row r="421" ht="15.75" spans="1:9">
      <c r="A421" s="83"/>
      <c r="B421" s="83"/>
      <c r="C421" s="22"/>
      <c r="D421" s="13" t="s">
        <v>181</v>
      </c>
      <c r="E421" s="15">
        <v>9961</v>
      </c>
      <c r="F421" s="19">
        <v>3049</v>
      </c>
      <c r="G421" s="20">
        <f t="shared" si="20"/>
        <v>0.58899393</v>
      </c>
      <c r="H421" s="20">
        <v>0.07744655775</v>
      </c>
      <c r="I421" s="43">
        <f t="shared" si="19"/>
        <v>0.66644048775</v>
      </c>
    </row>
    <row r="422" ht="15.75" spans="1:9">
      <c r="A422" s="83"/>
      <c r="B422" s="83"/>
      <c r="C422" s="22"/>
      <c r="D422" s="13" t="s">
        <v>203</v>
      </c>
      <c r="E422" s="15">
        <v>8042</v>
      </c>
      <c r="F422" s="19">
        <v>19986</v>
      </c>
      <c r="G422" s="20">
        <f t="shared" si="20"/>
        <v>0.47552346</v>
      </c>
      <c r="H422" s="20">
        <v>0.09420319675</v>
      </c>
      <c r="I422" s="43">
        <f t="shared" si="19"/>
        <v>0.56972665675</v>
      </c>
    </row>
    <row r="423" ht="15.75" spans="1:9">
      <c r="A423" s="83"/>
      <c r="B423" s="83"/>
      <c r="C423" s="22"/>
      <c r="D423" s="13" t="s">
        <v>204</v>
      </c>
      <c r="E423" s="15">
        <v>6045</v>
      </c>
      <c r="F423" s="19">
        <v>3218</v>
      </c>
      <c r="G423" s="20">
        <f t="shared" si="20"/>
        <v>0.35744085</v>
      </c>
      <c r="H423" s="20">
        <v>0.0604976915</v>
      </c>
      <c r="I423" s="43">
        <f t="shared" si="19"/>
        <v>0.4179385415</v>
      </c>
    </row>
    <row r="424" ht="15.75" spans="1:9">
      <c r="A424" s="83"/>
      <c r="B424" s="83"/>
      <c r="C424" s="22"/>
      <c r="D424" s="13" t="s">
        <v>65</v>
      </c>
      <c r="E424" s="15">
        <v>268806</v>
      </c>
      <c r="F424" s="19">
        <v>60986</v>
      </c>
      <c r="G424" s="20">
        <f t="shared" si="20"/>
        <v>15.89449878</v>
      </c>
      <c r="H424" s="20">
        <v>0.45337750475</v>
      </c>
      <c r="I424" s="43">
        <f t="shared" si="19"/>
        <v>16.34787628475</v>
      </c>
    </row>
    <row r="425" ht="15.75" spans="1:9">
      <c r="A425" s="83"/>
      <c r="B425" s="83"/>
      <c r="C425" s="22"/>
      <c r="D425" s="13" t="s">
        <v>178</v>
      </c>
      <c r="E425" s="15">
        <v>8614</v>
      </c>
      <c r="F425" s="19">
        <v>8065</v>
      </c>
      <c r="G425" s="20">
        <f t="shared" si="20"/>
        <v>0.50934582</v>
      </c>
      <c r="H425" s="20">
        <v>0.07858922675</v>
      </c>
      <c r="I425" s="43">
        <f t="shared" si="19"/>
        <v>0.58793504675</v>
      </c>
    </row>
    <row r="426" ht="15.75" spans="1:9">
      <c r="A426" s="83"/>
      <c r="B426" s="83"/>
      <c r="C426" s="22"/>
      <c r="D426" s="13" t="s">
        <v>66</v>
      </c>
      <c r="E426" s="15">
        <v>3775</v>
      </c>
      <c r="F426" s="19">
        <v>1563</v>
      </c>
      <c r="G426" s="20">
        <f t="shared" si="20"/>
        <v>0.22321575</v>
      </c>
      <c r="H426" s="20">
        <v>0.04616145875</v>
      </c>
      <c r="I426" s="43">
        <f t="shared" si="19"/>
        <v>0.26937720875</v>
      </c>
    </row>
    <row r="427" ht="15.75" spans="1:9">
      <c r="A427" s="83"/>
      <c r="B427" s="83"/>
      <c r="C427" s="22"/>
      <c r="D427" s="13" t="s">
        <v>191</v>
      </c>
      <c r="E427" s="15">
        <v>25878</v>
      </c>
      <c r="F427" s="19">
        <v>3929</v>
      </c>
      <c r="G427" s="20">
        <f t="shared" si="20"/>
        <v>1.53016614</v>
      </c>
      <c r="H427" s="20">
        <v>0.13059709125</v>
      </c>
      <c r="I427" s="43">
        <f t="shared" si="19"/>
        <v>1.66076323125</v>
      </c>
    </row>
    <row r="428" ht="15.75" spans="1:9">
      <c r="A428" s="83"/>
      <c r="B428" s="83"/>
      <c r="C428" s="22"/>
      <c r="D428" s="13" t="s">
        <v>198</v>
      </c>
      <c r="E428" s="15">
        <v>8373</v>
      </c>
      <c r="F428" s="19">
        <v>2235</v>
      </c>
      <c r="G428" s="20">
        <f t="shared" si="20"/>
        <v>0.49509549</v>
      </c>
      <c r="H428" s="20">
        <v>0.0640385565</v>
      </c>
      <c r="I428" s="43">
        <f t="shared" si="19"/>
        <v>0.5591340465</v>
      </c>
    </row>
    <row r="429" ht="15.75" spans="1:9">
      <c r="A429" s="83"/>
      <c r="B429" s="83"/>
      <c r="C429" s="22"/>
      <c r="D429" s="13" t="s">
        <v>192</v>
      </c>
      <c r="E429" s="15">
        <v>35044</v>
      </c>
      <c r="F429" s="19">
        <v>12623</v>
      </c>
      <c r="G429" s="20">
        <f t="shared" si="20"/>
        <v>2.07215172</v>
      </c>
      <c r="H429" s="20">
        <v>0.24773405925</v>
      </c>
      <c r="I429" s="43">
        <f t="shared" si="19"/>
        <v>2.31988577925</v>
      </c>
    </row>
    <row r="430" ht="15.75" spans="1:9">
      <c r="A430" s="83"/>
      <c r="B430" s="83"/>
      <c r="C430" s="22"/>
      <c r="D430" s="13" t="s">
        <v>205</v>
      </c>
      <c r="E430" s="15">
        <v>6596</v>
      </c>
      <c r="F430" s="19">
        <v>2726</v>
      </c>
      <c r="G430" s="20">
        <f t="shared" si="20"/>
        <v>0.39002148</v>
      </c>
      <c r="H430" s="20">
        <v>0.087895869</v>
      </c>
      <c r="I430" s="43">
        <f t="shared" si="19"/>
        <v>0.477917349</v>
      </c>
    </row>
    <row r="431" ht="15.75" spans="1:9">
      <c r="A431" s="83"/>
      <c r="B431" s="83"/>
      <c r="C431" s="22"/>
      <c r="D431" s="13" t="s">
        <v>177</v>
      </c>
      <c r="E431" s="15">
        <v>10541</v>
      </c>
      <c r="F431" s="19">
        <v>2907</v>
      </c>
      <c r="G431" s="20">
        <f t="shared" si="20"/>
        <v>0.62328933</v>
      </c>
      <c r="H431" s="20">
        <v>0.088224296</v>
      </c>
      <c r="I431" s="43">
        <f t="shared" si="19"/>
        <v>0.711513626</v>
      </c>
    </row>
    <row r="432" ht="15.75" spans="1:9">
      <c r="A432" s="83"/>
      <c r="B432" s="83"/>
      <c r="C432" s="22"/>
      <c r="D432" s="13" t="s">
        <v>206</v>
      </c>
      <c r="E432" s="15">
        <v>3741</v>
      </c>
      <c r="F432" s="19">
        <v>2109</v>
      </c>
      <c r="G432" s="20">
        <f t="shared" si="20"/>
        <v>0.22120533</v>
      </c>
      <c r="H432" s="20">
        <v>0.06844127775</v>
      </c>
      <c r="I432" s="43">
        <f t="shared" si="19"/>
        <v>0.28964660775</v>
      </c>
    </row>
    <row r="433" ht="15.75" spans="1:9">
      <c r="A433" s="83"/>
      <c r="B433" s="83"/>
      <c r="C433" s="22"/>
      <c r="D433" s="13" t="s">
        <v>182</v>
      </c>
      <c r="E433" s="15">
        <v>10133</v>
      </c>
      <c r="F433" s="19">
        <v>3319</v>
      </c>
      <c r="G433" s="20">
        <f t="shared" si="20"/>
        <v>0.59916429</v>
      </c>
      <c r="H433" s="20">
        <v>0.09388790975</v>
      </c>
      <c r="I433" s="43">
        <f t="shared" si="19"/>
        <v>0.69305219975</v>
      </c>
    </row>
    <row r="434" ht="15.75" spans="1:9">
      <c r="A434" s="83"/>
      <c r="B434" s="83"/>
      <c r="C434" s="22"/>
      <c r="D434" s="13" t="s">
        <v>214</v>
      </c>
      <c r="E434" s="15">
        <v>109000</v>
      </c>
      <c r="F434" s="15" t="s">
        <v>29</v>
      </c>
      <c r="G434" s="20">
        <f t="shared" si="20"/>
        <v>6.44517</v>
      </c>
      <c r="H434" s="15" t="s">
        <v>29</v>
      </c>
      <c r="I434" s="43">
        <f>G434</f>
        <v>6.44517</v>
      </c>
    </row>
    <row r="435" ht="15.75" spans="1:9">
      <c r="A435" s="83"/>
      <c r="B435" s="83"/>
      <c r="C435" s="22"/>
      <c r="D435" s="13" t="s">
        <v>175</v>
      </c>
      <c r="E435" s="15">
        <v>5257</v>
      </c>
      <c r="F435" s="19">
        <v>1486</v>
      </c>
      <c r="G435" s="20">
        <f t="shared" si="20"/>
        <v>0.31084641</v>
      </c>
      <c r="H435" s="20">
        <v>0.05103398975</v>
      </c>
      <c r="I435" s="43">
        <f t="shared" ref="I435:I498" si="21">G435+H435</f>
        <v>0.36188039975</v>
      </c>
    </row>
    <row r="436" ht="15.75" spans="1:9">
      <c r="A436" s="83"/>
      <c r="B436" s="83"/>
      <c r="C436" s="23"/>
      <c r="D436" s="13" t="s">
        <v>207</v>
      </c>
      <c r="E436" s="15">
        <v>8752</v>
      </c>
      <c r="F436" s="19">
        <v>2408</v>
      </c>
      <c r="G436" s="20">
        <f t="shared" si="20"/>
        <v>0.51750576</v>
      </c>
      <c r="H436" s="20">
        <v>0.071213909</v>
      </c>
      <c r="I436" s="43">
        <f t="shared" si="21"/>
        <v>0.588719669</v>
      </c>
    </row>
    <row r="437" ht="15.75" spans="1:9">
      <c r="A437" s="83"/>
      <c r="B437" s="83"/>
      <c r="C437" s="10" t="s">
        <v>95</v>
      </c>
      <c r="D437" s="13" t="s">
        <v>57</v>
      </c>
      <c r="E437" s="15">
        <v>22712</v>
      </c>
      <c r="F437" s="19">
        <v>6929</v>
      </c>
      <c r="G437" s="20">
        <f t="shared" si="20"/>
        <v>1.34296056</v>
      </c>
      <c r="H437" s="20">
        <v>0.1608930585</v>
      </c>
      <c r="I437" s="43">
        <f t="shared" si="21"/>
        <v>1.5038536185</v>
      </c>
    </row>
    <row r="438" ht="15.75" spans="1:9">
      <c r="A438" s="83"/>
      <c r="B438" s="83"/>
      <c r="C438" s="11" t="s">
        <v>184</v>
      </c>
      <c r="D438" s="13" t="s">
        <v>164</v>
      </c>
      <c r="E438" s="15">
        <v>5689</v>
      </c>
      <c r="F438" s="19">
        <v>1430</v>
      </c>
      <c r="G438" s="20">
        <f t="shared" si="20"/>
        <v>0.33639057</v>
      </c>
      <c r="H438" s="20">
        <v>0.040292934</v>
      </c>
      <c r="I438" s="43">
        <f t="shared" si="21"/>
        <v>0.376683504</v>
      </c>
    </row>
    <row r="439" ht="15.75" spans="1:9">
      <c r="A439" s="83"/>
      <c r="B439" s="83"/>
      <c r="C439" s="22"/>
      <c r="D439" s="13" t="s">
        <v>163</v>
      </c>
      <c r="E439" s="15">
        <v>44205</v>
      </c>
      <c r="F439" s="19">
        <v>5496</v>
      </c>
      <c r="G439" s="20">
        <f t="shared" si="20"/>
        <v>2.61384165</v>
      </c>
      <c r="H439" s="20">
        <v>0.13550528275</v>
      </c>
      <c r="I439" s="43">
        <f t="shared" si="21"/>
        <v>2.74934693275</v>
      </c>
    </row>
    <row r="440" ht="15.75" spans="1:9">
      <c r="A440" s="83"/>
      <c r="B440" s="83"/>
      <c r="C440" s="22"/>
      <c r="D440" s="13" t="s">
        <v>158</v>
      </c>
      <c r="E440" s="15">
        <v>16165</v>
      </c>
      <c r="F440" s="19">
        <v>4089</v>
      </c>
      <c r="G440" s="20">
        <f t="shared" si="20"/>
        <v>0.95583645</v>
      </c>
      <c r="H440" s="20">
        <v>0.10922915175</v>
      </c>
      <c r="I440" s="43">
        <f t="shared" si="21"/>
        <v>1.06506560175</v>
      </c>
    </row>
    <row r="441" ht="15.75" spans="1:9">
      <c r="A441" s="83"/>
      <c r="B441" s="83"/>
      <c r="C441" s="22"/>
      <c r="D441" s="13" t="s">
        <v>208</v>
      </c>
      <c r="E441" s="15">
        <v>7008</v>
      </c>
      <c r="F441" s="19">
        <v>1476</v>
      </c>
      <c r="G441" s="20">
        <f t="shared" si="20"/>
        <v>0.41438304</v>
      </c>
      <c r="H441" s="20">
        <v>0.046608018</v>
      </c>
      <c r="I441" s="43">
        <f t="shared" si="21"/>
        <v>0.460991058</v>
      </c>
    </row>
    <row r="442" ht="15.75" spans="1:9">
      <c r="A442" s="83"/>
      <c r="B442" s="83"/>
      <c r="C442" s="22"/>
      <c r="D442" s="13" t="s">
        <v>209</v>
      </c>
      <c r="E442" s="15">
        <v>4859</v>
      </c>
      <c r="F442" s="19">
        <v>1223</v>
      </c>
      <c r="G442" s="20">
        <f t="shared" si="20"/>
        <v>0.28731267</v>
      </c>
      <c r="H442" s="20">
        <v>0.035908919</v>
      </c>
      <c r="I442" s="43">
        <f t="shared" si="21"/>
        <v>0.323221589</v>
      </c>
    </row>
    <row r="443" ht="15.75" spans="1:9">
      <c r="A443" s="83"/>
      <c r="B443" s="83"/>
      <c r="C443" s="23"/>
      <c r="D443" s="13" t="s">
        <v>165</v>
      </c>
      <c r="E443" s="15">
        <v>7017</v>
      </c>
      <c r="F443" s="19">
        <v>1778</v>
      </c>
      <c r="G443" s="20">
        <f t="shared" si="20"/>
        <v>0.41491521</v>
      </c>
      <c r="H443" s="20">
        <v>0.062653126</v>
      </c>
      <c r="I443" s="43">
        <f t="shared" si="21"/>
        <v>0.477568336</v>
      </c>
    </row>
    <row r="444" ht="15.75" spans="1:9">
      <c r="A444" s="83"/>
      <c r="B444" s="83"/>
      <c r="C444" s="71" t="s">
        <v>58</v>
      </c>
      <c r="D444" s="13" t="s">
        <v>157</v>
      </c>
      <c r="E444" s="15">
        <v>5514</v>
      </c>
      <c r="F444" s="19">
        <v>4642</v>
      </c>
      <c r="G444" s="20">
        <f t="shared" si="20"/>
        <v>0.32604282</v>
      </c>
      <c r="H444" s="20">
        <v>0.068636644</v>
      </c>
      <c r="I444" s="43">
        <f t="shared" si="21"/>
        <v>0.394679464</v>
      </c>
    </row>
    <row r="445" ht="15.75" spans="1:9">
      <c r="A445" s="83"/>
      <c r="B445" s="83"/>
      <c r="C445" s="11" t="s">
        <v>27</v>
      </c>
      <c r="D445" s="13" t="s">
        <v>31</v>
      </c>
      <c r="E445" s="15">
        <v>14432</v>
      </c>
      <c r="F445" s="19">
        <v>6000</v>
      </c>
      <c r="G445" s="20">
        <f t="shared" si="20"/>
        <v>0.85336416</v>
      </c>
      <c r="H445" s="20">
        <v>0.1495724375</v>
      </c>
      <c r="I445" s="43">
        <f t="shared" si="21"/>
        <v>1.0029365975</v>
      </c>
    </row>
    <row r="446" ht="15.75" spans="1:9">
      <c r="A446" s="83"/>
      <c r="B446" s="83"/>
      <c r="C446" s="22"/>
      <c r="D446" s="13" t="s">
        <v>33</v>
      </c>
      <c r="E446" s="15">
        <v>26632</v>
      </c>
      <c r="F446" s="19">
        <v>4978</v>
      </c>
      <c r="G446" s="20">
        <f t="shared" si="20"/>
        <v>1.57475016</v>
      </c>
      <c r="H446" s="20">
        <v>0.12474880575</v>
      </c>
      <c r="I446" s="43">
        <f t="shared" si="21"/>
        <v>1.69949896575</v>
      </c>
    </row>
    <row r="447" ht="15.75" spans="1:9">
      <c r="A447" s="83"/>
      <c r="B447" s="83"/>
      <c r="C447" s="22"/>
      <c r="D447" s="13" t="s">
        <v>161</v>
      </c>
      <c r="E447" s="15">
        <v>57537</v>
      </c>
      <c r="F447" s="19">
        <v>8768</v>
      </c>
      <c r="G447" s="20">
        <f t="shared" si="20"/>
        <v>3.40216281</v>
      </c>
      <c r="H447" s="20">
        <v>0.201755502</v>
      </c>
      <c r="I447" s="43">
        <f t="shared" si="21"/>
        <v>3.603918312</v>
      </c>
    </row>
    <row r="448" ht="15.75" spans="1:9">
      <c r="A448" s="83"/>
      <c r="B448" s="83"/>
      <c r="C448" s="22"/>
      <c r="D448" s="13" t="s">
        <v>210</v>
      </c>
      <c r="E448" s="15">
        <v>96294</v>
      </c>
      <c r="F448" s="19">
        <v>8669</v>
      </c>
      <c r="G448" s="20">
        <f t="shared" si="20"/>
        <v>5.69386422</v>
      </c>
      <c r="H448" s="20">
        <v>0.2436419165</v>
      </c>
      <c r="I448" s="43">
        <f t="shared" si="21"/>
        <v>5.9375061365</v>
      </c>
    </row>
    <row r="449" ht="15.75" spans="1:9">
      <c r="A449" s="83"/>
      <c r="B449" s="83"/>
      <c r="C449" s="22"/>
      <c r="D449" s="13" t="s">
        <v>211</v>
      </c>
      <c r="E449" s="15">
        <v>9236</v>
      </c>
      <c r="F449" s="19">
        <v>4108</v>
      </c>
      <c r="G449" s="20">
        <f t="shared" si="20"/>
        <v>0.54612468</v>
      </c>
      <c r="H449" s="20">
        <v>0.0915638635</v>
      </c>
      <c r="I449" s="43">
        <f t="shared" si="21"/>
        <v>0.6376885435</v>
      </c>
    </row>
    <row r="450" ht="15.75" spans="1:9">
      <c r="A450" s="83"/>
      <c r="B450" s="83"/>
      <c r="C450" s="22"/>
      <c r="D450" s="13" t="s">
        <v>212</v>
      </c>
      <c r="E450" s="15">
        <v>8857</v>
      </c>
      <c r="F450" s="19">
        <v>2601</v>
      </c>
      <c r="G450" s="20">
        <f t="shared" si="20"/>
        <v>0.52371441</v>
      </c>
      <c r="H450" s="20">
        <v>0.08458948</v>
      </c>
      <c r="I450" s="43">
        <f t="shared" si="21"/>
        <v>0.60830389</v>
      </c>
    </row>
    <row r="451" ht="15.75" spans="1:9">
      <c r="A451" s="83"/>
      <c r="B451" s="83"/>
      <c r="C451" s="22"/>
      <c r="D451" s="13" t="s">
        <v>187</v>
      </c>
      <c r="E451" s="15">
        <v>8984</v>
      </c>
      <c r="F451" s="19">
        <v>7543</v>
      </c>
      <c r="G451" s="20">
        <f t="shared" si="20"/>
        <v>0.53122392</v>
      </c>
      <c r="H451" s="20">
        <v>0.2256226695</v>
      </c>
      <c r="I451" s="43">
        <f t="shared" si="21"/>
        <v>0.7568465895</v>
      </c>
    </row>
    <row r="452" ht="15.75" spans="1:9">
      <c r="A452" s="83"/>
      <c r="B452" s="83"/>
      <c r="C452" s="22"/>
      <c r="D452" s="13" t="s">
        <v>213</v>
      </c>
      <c r="E452" s="15">
        <v>11953</v>
      </c>
      <c r="F452" s="19">
        <v>619</v>
      </c>
      <c r="G452" s="20">
        <f t="shared" si="20"/>
        <v>0.70678089</v>
      </c>
      <c r="H452" s="20">
        <v>0.010182697</v>
      </c>
      <c r="I452" s="43">
        <f t="shared" si="21"/>
        <v>0.716963587</v>
      </c>
    </row>
    <row r="453" ht="15.75" spans="1:9">
      <c r="A453" s="83"/>
      <c r="B453" s="83"/>
      <c r="C453" s="22"/>
      <c r="D453" s="13" t="s">
        <v>27</v>
      </c>
      <c r="E453" s="15">
        <v>1027264</v>
      </c>
      <c r="F453" s="19">
        <v>142479</v>
      </c>
      <c r="G453" s="20">
        <f t="shared" si="20"/>
        <v>60.74212032</v>
      </c>
      <c r="H453" s="20">
        <v>1.21050306375</v>
      </c>
      <c r="I453" s="43">
        <f t="shared" si="21"/>
        <v>61.95262338375</v>
      </c>
    </row>
    <row r="454" ht="15.75" spans="1:9">
      <c r="A454" s="83"/>
      <c r="B454" s="83"/>
      <c r="C454" s="22"/>
      <c r="D454" s="13" t="s">
        <v>160</v>
      </c>
      <c r="E454" s="15">
        <v>16027</v>
      </c>
      <c r="F454" s="19">
        <v>5956</v>
      </c>
      <c r="G454" s="20">
        <f t="shared" si="20"/>
        <v>0.94767651</v>
      </c>
      <c r="H454" s="20">
        <v>0.113502736</v>
      </c>
      <c r="I454" s="43">
        <f t="shared" si="21"/>
        <v>1.061179246</v>
      </c>
    </row>
    <row r="455" ht="15.75" spans="1:9">
      <c r="A455" s="83"/>
      <c r="B455" s="83"/>
      <c r="C455" s="23"/>
      <c r="D455" s="13" t="s">
        <v>28</v>
      </c>
      <c r="E455" s="15">
        <v>36682</v>
      </c>
      <c r="F455" s="19">
        <v>4239</v>
      </c>
      <c r="G455" s="20">
        <f t="shared" si="20"/>
        <v>2.16900666</v>
      </c>
      <c r="H455" s="20">
        <v>0.12777655375</v>
      </c>
      <c r="I455" s="43">
        <f t="shared" si="21"/>
        <v>2.29678321375</v>
      </c>
    </row>
    <row r="456" ht="15.75" spans="1:9">
      <c r="A456" s="83"/>
      <c r="B456" s="83"/>
      <c r="C456" s="11" t="s">
        <v>162</v>
      </c>
      <c r="D456" s="13" t="s">
        <v>196</v>
      </c>
      <c r="E456" s="15">
        <v>9889</v>
      </c>
      <c r="F456" s="19">
        <v>2414</v>
      </c>
      <c r="G456" s="20">
        <f t="shared" si="20"/>
        <v>0.58473657</v>
      </c>
      <c r="H456" s="20">
        <v>0.0506643725</v>
      </c>
      <c r="I456" s="43">
        <f t="shared" si="21"/>
        <v>0.6354009425</v>
      </c>
    </row>
    <row r="457" ht="15.75" spans="1:9">
      <c r="A457" s="83"/>
      <c r="B457" s="83"/>
      <c r="C457" s="22"/>
      <c r="D457" s="125" t="s">
        <v>173</v>
      </c>
      <c r="E457" s="15">
        <v>7093</v>
      </c>
      <c r="F457" s="19">
        <v>1370</v>
      </c>
      <c r="G457" s="20">
        <f t="shared" si="20"/>
        <v>0.41940909</v>
      </c>
      <c r="H457" s="20">
        <v>0.0306561675</v>
      </c>
      <c r="I457" s="43">
        <f t="shared" si="21"/>
        <v>0.4500652575</v>
      </c>
    </row>
    <row r="458" ht="15.75" spans="1:9">
      <c r="A458" s="83"/>
      <c r="B458" s="83"/>
      <c r="C458" s="22"/>
      <c r="D458" s="13" t="s">
        <v>169</v>
      </c>
      <c r="E458" s="15">
        <v>4509</v>
      </c>
      <c r="F458" s="19">
        <v>1141</v>
      </c>
      <c r="G458" s="20">
        <f t="shared" si="20"/>
        <v>0.26661717</v>
      </c>
      <c r="H458" s="20">
        <v>0.022603428</v>
      </c>
      <c r="I458" s="43">
        <f t="shared" si="21"/>
        <v>0.289220598</v>
      </c>
    </row>
    <row r="459" ht="15.75" spans="1:9">
      <c r="A459" s="83"/>
      <c r="B459" s="83"/>
      <c r="C459" s="22"/>
      <c r="D459" s="13" t="s">
        <v>170</v>
      </c>
      <c r="E459" s="15">
        <v>14693</v>
      </c>
      <c r="F459" s="19">
        <v>3149</v>
      </c>
      <c r="G459" s="20">
        <f t="shared" si="20"/>
        <v>0.86879709</v>
      </c>
      <c r="H459" s="20">
        <v>0.09030820875</v>
      </c>
      <c r="I459" s="43">
        <f t="shared" si="21"/>
        <v>0.95910529875</v>
      </c>
    </row>
    <row r="460" ht="15.75" spans="1:9">
      <c r="A460" s="83"/>
      <c r="B460" s="83"/>
      <c r="C460" s="22"/>
      <c r="D460" s="125" t="s">
        <v>167</v>
      </c>
      <c r="E460" s="15">
        <v>37372</v>
      </c>
      <c r="F460" s="19">
        <v>16374</v>
      </c>
      <c r="G460" s="20">
        <f t="shared" si="20"/>
        <v>2.20980636</v>
      </c>
      <c r="H460" s="20">
        <v>0.1271877175</v>
      </c>
      <c r="I460" s="43">
        <f t="shared" si="21"/>
        <v>2.3369940775</v>
      </c>
    </row>
    <row r="461" ht="15.75" spans="1:9">
      <c r="A461" s="83"/>
      <c r="B461" s="83"/>
      <c r="C461" s="22"/>
      <c r="D461" s="13" t="s">
        <v>197</v>
      </c>
      <c r="E461" s="15">
        <v>13278</v>
      </c>
      <c r="F461" s="19">
        <v>5905</v>
      </c>
      <c r="G461" s="20">
        <f t="shared" si="20"/>
        <v>0.78512814</v>
      </c>
      <c r="H461" s="20">
        <v>0.174336045</v>
      </c>
      <c r="I461" s="43">
        <f t="shared" si="21"/>
        <v>0.959464185</v>
      </c>
    </row>
    <row r="462" ht="15.75" spans="1:9">
      <c r="A462" s="83"/>
      <c r="B462" s="83"/>
      <c r="C462" s="22"/>
      <c r="D462" s="125" t="s">
        <v>166</v>
      </c>
      <c r="E462" s="15">
        <v>22564</v>
      </c>
      <c r="F462" s="19">
        <v>6825</v>
      </c>
      <c r="G462" s="20">
        <f t="shared" si="20"/>
        <v>1.33420932</v>
      </c>
      <c r="H462" s="20">
        <v>0.193004189</v>
      </c>
      <c r="I462" s="43">
        <f t="shared" si="21"/>
        <v>1.527213509</v>
      </c>
    </row>
    <row r="463" ht="15.75" spans="1:9">
      <c r="A463" s="83"/>
      <c r="B463" s="84"/>
      <c r="C463" s="23"/>
      <c r="D463" s="125" t="s">
        <v>188</v>
      </c>
      <c r="E463" s="15">
        <v>163114</v>
      </c>
      <c r="F463" s="19">
        <v>122955</v>
      </c>
      <c r="G463" s="20">
        <f t="shared" si="20"/>
        <v>9.64493082</v>
      </c>
      <c r="H463" s="20">
        <v>0.467807725</v>
      </c>
      <c r="I463" s="43">
        <f t="shared" si="21"/>
        <v>10.112738545</v>
      </c>
    </row>
    <row r="464" ht="15.75" spans="1:9">
      <c r="A464" s="71">
        <v>5</v>
      </c>
      <c r="B464" s="71">
        <v>2021</v>
      </c>
      <c r="C464" s="10" t="s">
        <v>78</v>
      </c>
      <c r="D464" s="13" t="s">
        <v>201</v>
      </c>
      <c r="E464" s="15">
        <v>5258</v>
      </c>
      <c r="F464" s="19">
        <v>1433</v>
      </c>
      <c r="G464" s="20">
        <f t="shared" si="20"/>
        <v>0.31090554</v>
      </c>
      <c r="H464" s="20">
        <v>0.0525802314285714</v>
      </c>
      <c r="I464" s="43">
        <f t="shared" si="21"/>
        <v>0.363485771428571</v>
      </c>
    </row>
    <row r="465" ht="15.75" spans="1:9">
      <c r="A465" s="71"/>
      <c r="B465" s="71"/>
      <c r="C465" s="10"/>
      <c r="D465" s="13" t="s">
        <v>215</v>
      </c>
      <c r="E465" s="15">
        <v>26331</v>
      </c>
      <c r="F465" s="19">
        <v>1622</v>
      </c>
      <c r="G465" s="20">
        <f t="shared" si="20"/>
        <v>1.55695203</v>
      </c>
      <c r="H465" s="20">
        <v>0.0629050385714286</v>
      </c>
      <c r="I465" s="43">
        <f t="shared" si="21"/>
        <v>1.61985706857143</v>
      </c>
    </row>
    <row r="466" ht="15.75" spans="1:9">
      <c r="A466" s="71"/>
      <c r="B466" s="71"/>
      <c r="C466" s="10"/>
      <c r="D466" s="13" t="s">
        <v>203</v>
      </c>
      <c r="E466" s="15">
        <v>8646</v>
      </c>
      <c r="F466" s="19">
        <v>2218</v>
      </c>
      <c r="G466" s="20">
        <f t="shared" si="20"/>
        <v>0.51123798</v>
      </c>
      <c r="H466" s="20">
        <v>0.0393215933928571</v>
      </c>
      <c r="I466" s="43">
        <f t="shared" si="21"/>
        <v>0.550559573392857</v>
      </c>
    </row>
    <row r="467" ht="15.75" spans="1:9">
      <c r="A467" s="71"/>
      <c r="B467" s="71"/>
      <c r="C467" s="10"/>
      <c r="D467" s="13" t="s">
        <v>216</v>
      </c>
      <c r="E467" s="15">
        <v>6827</v>
      </c>
      <c r="F467" s="19">
        <v>1052</v>
      </c>
      <c r="G467" s="20">
        <f t="shared" ref="G467:G527" si="22">E467*162*365/POWER(10,9)</f>
        <v>0.40368051</v>
      </c>
      <c r="H467" s="20">
        <v>0.0350548085714286</v>
      </c>
      <c r="I467" s="43">
        <f t="shared" si="21"/>
        <v>0.438735318571429</v>
      </c>
    </row>
    <row r="468" ht="15.75" spans="1:9">
      <c r="A468" s="71"/>
      <c r="B468" s="71"/>
      <c r="C468" s="10"/>
      <c r="D468" s="13" t="s">
        <v>178</v>
      </c>
      <c r="E468" s="15">
        <v>9845</v>
      </c>
      <c r="F468" s="19">
        <v>1326</v>
      </c>
      <c r="G468" s="20">
        <f t="shared" si="22"/>
        <v>0.58213485</v>
      </c>
      <c r="H468" s="20">
        <v>0.0346853633928571</v>
      </c>
      <c r="I468" s="43">
        <f t="shared" si="21"/>
        <v>0.616820213392857</v>
      </c>
    </row>
    <row r="469" ht="15.75" spans="1:9">
      <c r="A469" s="71"/>
      <c r="B469" s="71"/>
      <c r="C469" s="10"/>
      <c r="D469" s="13" t="s">
        <v>66</v>
      </c>
      <c r="E469" s="15">
        <v>4080</v>
      </c>
      <c r="F469" s="19">
        <v>170</v>
      </c>
      <c r="G469" s="20">
        <f t="shared" si="22"/>
        <v>0.2412504</v>
      </c>
      <c r="H469" s="20">
        <v>0.00341952857142857</v>
      </c>
      <c r="I469" s="43">
        <f t="shared" si="21"/>
        <v>0.244669928571429</v>
      </c>
    </row>
    <row r="470" ht="15.75" spans="1:9">
      <c r="A470" s="71"/>
      <c r="B470" s="71"/>
      <c r="C470" s="10" t="s">
        <v>217</v>
      </c>
      <c r="D470" s="13" t="s">
        <v>33</v>
      </c>
      <c r="E470" s="15">
        <v>30829</v>
      </c>
      <c r="F470" s="19">
        <v>932</v>
      </c>
      <c r="G470" s="20">
        <f t="shared" si="22"/>
        <v>1.82291877</v>
      </c>
      <c r="H470" s="20">
        <v>0.0326590528571429</v>
      </c>
      <c r="I470" s="43">
        <f t="shared" si="21"/>
        <v>1.85557782285714</v>
      </c>
    </row>
    <row r="471" ht="15.75" spans="1:9">
      <c r="A471" s="71"/>
      <c r="B471" s="71"/>
      <c r="C471" s="10"/>
      <c r="D471" s="13" t="s">
        <v>161</v>
      </c>
      <c r="E471" s="15">
        <v>83279</v>
      </c>
      <c r="F471" s="19">
        <v>9482</v>
      </c>
      <c r="G471" s="20">
        <f t="shared" si="22"/>
        <v>4.92428727</v>
      </c>
      <c r="H471" s="20">
        <v>0.287569838571429</v>
      </c>
      <c r="I471" s="43">
        <f t="shared" si="21"/>
        <v>5.21185710857143</v>
      </c>
    </row>
    <row r="472" ht="15.75" spans="1:9">
      <c r="A472" s="71"/>
      <c r="B472" s="71"/>
      <c r="C472" s="10"/>
      <c r="D472" s="13" t="s">
        <v>187</v>
      </c>
      <c r="E472" s="15">
        <v>10906</v>
      </c>
      <c r="F472" s="19">
        <v>3184</v>
      </c>
      <c r="G472" s="20">
        <f t="shared" si="22"/>
        <v>0.64487178</v>
      </c>
      <c r="H472" s="20">
        <v>0.0985257405357143</v>
      </c>
      <c r="I472" s="43">
        <f t="shared" si="21"/>
        <v>0.743397520535714</v>
      </c>
    </row>
    <row r="473" ht="15.75" spans="1:9">
      <c r="A473" s="71"/>
      <c r="B473" s="71"/>
      <c r="C473" s="10"/>
      <c r="D473" s="13" t="s">
        <v>160</v>
      </c>
      <c r="E473" s="15">
        <v>20557</v>
      </c>
      <c r="F473" s="19">
        <v>4223</v>
      </c>
      <c r="G473" s="20">
        <f t="shared" si="22"/>
        <v>1.21553541</v>
      </c>
      <c r="H473" s="20">
        <v>0.107138371785714</v>
      </c>
      <c r="I473" s="43">
        <f t="shared" si="21"/>
        <v>1.32267378178571</v>
      </c>
    </row>
    <row r="474" ht="15.75" spans="1:9">
      <c r="A474" s="71"/>
      <c r="B474" s="71"/>
      <c r="C474" s="10" t="s">
        <v>174</v>
      </c>
      <c r="D474" s="13" t="s">
        <v>174</v>
      </c>
      <c r="E474" s="15">
        <v>33556</v>
      </c>
      <c r="F474" s="19">
        <v>14725</v>
      </c>
      <c r="G474" s="20">
        <f t="shared" si="22"/>
        <v>1.98416628</v>
      </c>
      <c r="H474" s="20">
        <v>0.386412842321429</v>
      </c>
      <c r="I474" s="43">
        <f t="shared" si="21"/>
        <v>2.37057912232143</v>
      </c>
    </row>
    <row r="475" ht="15.75" spans="1:9">
      <c r="A475" s="71"/>
      <c r="B475" s="71"/>
      <c r="C475" s="10"/>
      <c r="D475" s="13" t="s">
        <v>176</v>
      </c>
      <c r="E475" s="15">
        <v>6422</v>
      </c>
      <c r="F475" s="19">
        <v>5004</v>
      </c>
      <c r="G475" s="20">
        <f t="shared" si="22"/>
        <v>0.37973286</v>
      </c>
      <c r="H475" s="20">
        <v>0.100074031428571</v>
      </c>
      <c r="I475" s="43">
        <f t="shared" si="21"/>
        <v>0.479806891428571</v>
      </c>
    </row>
    <row r="476" ht="15.75" spans="1:9">
      <c r="A476" s="71"/>
      <c r="B476" s="71"/>
      <c r="C476" s="10"/>
      <c r="D476" s="13" t="s">
        <v>202</v>
      </c>
      <c r="E476" s="15">
        <v>7721</v>
      </c>
      <c r="F476" s="19">
        <v>2437</v>
      </c>
      <c r="G476" s="20">
        <f t="shared" si="22"/>
        <v>0.45654273</v>
      </c>
      <c r="H476" s="20">
        <v>0.0814812442857143</v>
      </c>
      <c r="I476" s="43">
        <f t="shared" si="21"/>
        <v>0.538023974285714</v>
      </c>
    </row>
    <row r="477" ht="15.75" spans="1:9">
      <c r="A477" s="71"/>
      <c r="B477" s="71"/>
      <c r="C477" s="10"/>
      <c r="D477" s="13" t="s">
        <v>198</v>
      </c>
      <c r="E477" s="15">
        <v>10453</v>
      </c>
      <c r="F477" s="19">
        <v>3423</v>
      </c>
      <c r="G477" s="20">
        <f t="shared" si="22"/>
        <v>0.61808589</v>
      </c>
      <c r="H477" s="20">
        <v>0.0920182467857143</v>
      </c>
      <c r="I477" s="43">
        <f t="shared" si="21"/>
        <v>0.710104136785714</v>
      </c>
    </row>
    <row r="478" ht="15.75" spans="1:9">
      <c r="A478" s="71"/>
      <c r="B478" s="71"/>
      <c r="C478" s="10"/>
      <c r="D478" s="13" t="s">
        <v>205</v>
      </c>
      <c r="E478" s="15">
        <v>10204</v>
      </c>
      <c r="F478" s="19">
        <v>5035</v>
      </c>
      <c r="G478" s="20">
        <f t="shared" si="22"/>
        <v>0.60336252</v>
      </c>
      <c r="H478" s="20">
        <v>0.11548718625</v>
      </c>
      <c r="I478" s="43">
        <f t="shared" si="21"/>
        <v>0.71884970625</v>
      </c>
    </row>
    <row r="479" ht="15.75" spans="1:9">
      <c r="A479" s="71"/>
      <c r="B479" s="71"/>
      <c r="C479" s="10"/>
      <c r="D479" s="13" t="s">
        <v>177</v>
      </c>
      <c r="E479" s="15">
        <v>12567</v>
      </c>
      <c r="F479" s="19">
        <v>4794</v>
      </c>
      <c r="G479" s="20">
        <f t="shared" si="22"/>
        <v>0.74308671</v>
      </c>
      <c r="H479" s="20">
        <v>0.12481695125</v>
      </c>
      <c r="I479" s="43">
        <f t="shared" si="21"/>
        <v>0.86790366125</v>
      </c>
    </row>
    <row r="480" ht="15.75" spans="1:9">
      <c r="A480" s="71"/>
      <c r="B480" s="71"/>
      <c r="C480" s="10"/>
      <c r="D480" s="13" t="s">
        <v>206</v>
      </c>
      <c r="E480" s="15">
        <v>4735</v>
      </c>
      <c r="F480" s="19">
        <v>2170</v>
      </c>
      <c r="G480" s="20">
        <f t="shared" si="22"/>
        <v>0.27998055</v>
      </c>
      <c r="H480" s="20">
        <v>0.0583529541071428</v>
      </c>
      <c r="I480" s="43">
        <f t="shared" si="21"/>
        <v>0.338333504107143</v>
      </c>
    </row>
    <row r="481" ht="15.75" spans="1:9">
      <c r="A481" s="71"/>
      <c r="B481" s="71"/>
      <c r="C481" s="10"/>
      <c r="D481" s="13" t="s">
        <v>175</v>
      </c>
      <c r="E481" s="15">
        <v>6101</v>
      </c>
      <c r="F481" s="19">
        <v>2037</v>
      </c>
      <c r="G481" s="20">
        <f t="shared" si="22"/>
        <v>0.36075213</v>
      </c>
      <c r="H481" s="20">
        <v>0.0586537010714286</v>
      </c>
      <c r="I481" s="43">
        <f t="shared" si="21"/>
        <v>0.419405831071429</v>
      </c>
    </row>
    <row r="482" ht="15.75" spans="1:9">
      <c r="A482" s="71"/>
      <c r="B482" s="71"/>
      <c r="C482" s="10" t="s">
        <v>48</v>
      </c>
      <c r="D482" s="13" t="s">
        <v>48</v>
      </c>
      <c r="E482" s="15">
        <v>561973</v>
      </c>
      <c r="F482" s="19">
        <v>7479</v>
      </c>
      <c r="G482" s="20">
        <f t="shared" si="22"/>
        <v>33.22946349</v>
      </c>
      <c r="H482" s="20">
        <v>0.218187614285714</v>
      </c>
      <c r="I482" s="43">
        <f t="shared" si="21"/>
        <v>33.4476511042857</v>
      </c>
    </row>
    <row r="483" ht="15.75" spans="1:9">
      <c r="A483" s="71"/>
      <c r="B483" s="71"/>
      <c r="C483" s="10"/>
      <c r="D483" s="13" t="s">
        <v>195</v>
      </c>
      <c r="E483" s="15">
        <v>13274</v>
      </c>
      <c r="F483" s="19">
        <v>1369</v>
      </c>
      <c r="G483" s="20">
        <f t="shared" si="22"/>
        <v>0.78489162</v>
      </c>
      <c r="H483" s="20">
        <v>0.0460011585714286</v>
      </c>
      <c r="I483" s="43">
        <f t="shared" si="21"/>
        <v>0.830892778571429</v>
      </c>
    </row>
    <row r="484" ht="15.75" spans="1:9">
      <c r="A484" s="71"/>
      <c r="B484" s="71"/>
      <c r="C484" s="10"/>
      <c r="D484" s="13" t="s">
        <v>194</v>
      </c>
      <c r="E484" s="15">
        <v>22177</v>
      </c>
      <c r="F484" s="19">
        <v>2536</v>
      </c>
      <c r="G484" s="20">
        <f t="shared" si="22"/>
        <v>1.31132601</v>
      </c>
      <c r="H484" s="20">
        <v>0.0659935251785714</v>
      </c>
      <c r="I484" s="43">
        <f t="shared" si="21"/>
        <v>1.37731953517857</v>
      </c>
    </row>
    <row r="485" ht="15.75" spans="1:9">
      <c r="A485" s="71"/>
      <c r="B485" s="71"/>
      <c r="C485" s="10"/>
      <c r="D485" s="13" t="s">
        <v>151</v>
      </c>
      <c r="E485" s="15">
        <v>20455</v>
      </c>
      <c r="F485" s="19">
        <v>2630</v>
      </c>
      <c r="G485" s="20">
        <f t="shared" si="22"/>
        <v>1.20950415</v>
      </c>
      <c r="H485" s="20">
        <v>0.0809534542857143</v>
      </c>
      <c r="I485" s="43">
        <f t="shared" si="21"/>
        <v>1.29045760428571</v>
      </c>
    </row>
    <row r="486" ht="15.75" spans="1:9">
      <c r="A486" s="71"/>
      <c r="B486" s="71"/>
      <c r="C486" s="10"/>
      <c r="D486" s="13" t="s">
        <v>149</v>
      </c>
      <c r="E486" s="15">
        <v>21680</v>
      </c>
      <c r="F486" s="19">
        <v>1274</v>
      </c>
      <c r="G486" s="20">
        <f t="shared" si="22"/>
        <v>1.2819384</v>
      </c>
      <c r="H486" s="20">
        <v>0.032124745</v>
      </c>
      <c r="I486" s="43">
        <f t="shared" si="21"/>
        <v>1.314063145</v>
      </c>
    </row>
    <row r="487" ht="15.75" spans="1:9">
      <c r="A487" s="71"/>
      <c r="B487" s="71"/>
      <c r="C487" s="10"/>
      <c r="D487" s="13" t="s">
        <v>199</v>
      </c>
      <c r="E487" s="71">
        <v>11272</v>
      </c>
      <c r="F487" s="19">
        <v>2284</v>
      </c>
      <c r="G487" s="20">
        <f t="shared" si="22"/>
        <v>0.66651336</v>
      </c>
      <c r="H487" s="20">
        <v>0.0778925642857143</v>
      </c>
      <c r="I487" s="43">
        <f t="shared" si="21"/>
        <v>0.744405924285714</v>
      </c>
    </row>
    <row r="488" ht="15.75" spans="1:9">
      <c r="A488" s="71"/>
      <c r="B488" s="71"/>
      <c r="C488" s="10"/>
      <c r="D488" s="13" t="s">
        <v>186</v>
      </c>
      <c r="E488" s="15">
        <v>29402</v>
      </c>
      <c r="F488" s="19">
        <v>7728</v>
      </c>
      <c r="G488" s="20">
        <f t="shared" si="22"/>
        <v>1.73854026</v>
      </c>
      <c r="H488" s="20">
        <v>0.236132057142857</v>
      </c>
      <c r="I488" s="43">
        <f t="shared" si="21"/>
        <v>1.97467231714286</v>
      </c>
    </row>
    <row r="489" ht="15.75" spans="1:9">
      <c r="A489" s="71"/>
      <c r="B489" s="71"/>
      <c r="C489" s="10"/>
      <c r="D489" s="13" t="s">
        <v>148</v>
      </c>
      <c r="E489" s="15">
        <v>22715</v>
      </c>
      <c r="F489" s="19">
        <v>985</v>
      </c>
      <c r="G489" s="20">
        <f t="shared" si="22"/>
        <v>1.34313795</v>
      </c>
      <c r="H489" s="20">
        <v>0.0315668685714286</v>
      </c>
      <c r="I489" s="43">
        <f t="shared" si="21"/>
        <v>1.37470481857143</v>
      </c>
    </row>
    <row r="490" ht="15.75" spans="1:9">
      <c r="A490" s="71"/>
      <c r="B490" s="71"/>
      <c r="C490" s="10" t="s">
        <v>37</v>
      </c>
      <c r="D490" s="13" t="s">
        <v>39</v>
      </c>
      <c r="E490" s="15">
        <v>18346</v>
      </c>
      <c r="F490" s="19">
        <v>1474</v>
      </c>
      <c r="G490" s="20">
        <f t="shared" si="22"/>
        <v>1.08479898</v>
      </c>
      <c r="H490" s="20">
        <v>0.0406437276785714</v>
      </c>
      <c r="I490" s="43">
        <f t="shared" si="21"/>
        <v>1.12544270767857</v>
      </c>
    </row>
    <row r="491" ht="15.75" spans="1:9">
      <c r="A491" s="71"/>
      <c r="B491" s="71"/>
      <c r="C491" s="10" t="s">
        <v>65</v>
      </c>
      <c r="D491" s="13" t="s">
        <v>193</v>
      </c>
      <c r="E491" s="15">
        <v>21434</v>
      </c>
      <c r="F491" s="19">
        <v>67145</v>
      </c>
      <c r="G491" s="20">
        <f t="shared" si="22"/>
        <v>1.26739242</v>
      </c>
      <c r="H491" s="20">
        <v>0.198731758571429</v>
      </c>
      <c r="I491" s="43">
        <f t="shared" si="21"/>
        <v>1.46612417857143</v>
      </c>
    </row>
    <row r="492" ht="15.75" spans="1:9">
      <c r="A492" s="71"/>
      <c r="B492" s="71"/>
      <c r="C492" s="10"/>
      <c r="D492" s="13" t="s">
        <v>218</v>
      </c>
      <c r="E492" s="15">
        <v>687892</v>
      </c>
      <c r="F492" s="19">
        <v>27595</v>
      </c>
      <c r="G492" s="20">
        <f t="shared" si="22"/>
        <v>40.67505396</v>
      </c>
      <c r="H492" s="20">
        <v>0.944343004107143</v>
      </c>
      <c r="I492" s="43">
        <f t="shared" si="21"/>
        <v>41.6193969641071</v>
      </c>
    </row>
    <row r="493" ht="15.75" spans="1:9">
      <c r="A493" s="71"/>
      <c r="B493" s="71"/>
      <c r="C493" s="10"/>
      <c r="D493" s="13" t="s">
        <v>190</v>
      </c>
      <c r="E493" s="15">
        <v>118877</v>
      </c>
      <c r="F493" s="19">
        <v>20519</v>
      </c>
      <c r="G493" s="20">
        <f t="shared" si="22"/>
        <v>7.02919701</v>
      </c>
      <c r="H493" s="20">
        <v>0.5141716675</v>
      </c>
      <c r="I493" s="43">
        <f t="shared" si="21"/>
        <v>7.5433686775</v>
      </c>
    </row>
    <row r="494" ht="15.75" spans="1:9">
      <c r="A494" s="71"/>
      <c r="B494" s="71"/>
      <c r="C494" s="10"/>
      <c r="D494" s="13" t="s">
        <v>181</v>
      </c>
      <c r="E494" s="15">
        <v>11486</v>
      </c>
      <c r="F494" s="19">
        <v>3732</v>
      </c>
      <c r="G494" s="20">
        <f t="shared" si="22"/>
        <v>0.67916718</v>
      </c>
      <c r="H494" s="20">
        <v>0.11750518</v>
      </c>
      <c r="I494" s="43">
        <f t="shared" si="21"/>
        <v>0.79667236</v>
      </c>
    </row>
    <row r="495" ht="15.75" spans="1:9">
      <c r="A495" s="71"/>
      <c r="B495" s="71"/>
      <c r="C495" s="10"/>
      <c r="D495" s="13" t="s">
        <v>65</v>
      </c>
      <c r="E495" s="15">
        <v>312853</v>
      </c>
      <c r="F495" s="19">
        <v>15437</v>
      </c>
      <c r="G495" s="20">
        <f t="shared" si="22"/>
        <v>18.49899789</v>
      </c>
      <c r="H495" s="20">
        <v>0.335415967857143</v>
      </c>
      <c r="I495" s="43">
        <f t="shared" si="21"/>
        <v>18.8344138578571</v>
      </c>
    </row>
    <row r="496" ht="15.75" spans="1:9">
      <c r="A496" s="71"/>
      <c r="B496" s="71"/>
      <c r="C496" s="10"/>
      <c r="D496" s="13" t="s">
        <v>191</v>
      </c>
      <c r="E496" s="15">
        <v>30498</v>
      </c>
      <c r="F496" s="19">
        <v>15287</v>
      </c>
      <c r="G496" s="20">
        <f t="shared" si="22"/>
        <v>1.80334674</v>
      </c>
      <c r="H496" s="20">
        <v>0.114312107857143</v>
      </c>
      <c r="I496" s="43">
        <f t="shared" si="21"/>
        <v>1.91765884785714</v>
      </c>
    </row>
    <row r="497" ht="15.75" spans="1:9">
      <c r="A497" s="71"/>
      <c r="B497" s="71"/>
      <c r="C497" s="10"/>
      <c r="D497" s="13" t="s">
        <v>192</v>
      </c>
      <c r="E497" s="15">
        <v>44338</v>
      </c>
      <c r="F497" s="19">
        <v>7172</v>
      </c>
      <c r="G497" s="20">
        <f t="shared" si="22"/>
        <v>2.62170594</v>
      </c>
      <c r="H497" s="20">
        <v>0.23168256375</v>
      </c>
      <c r="I497" s="43">
        <f t="shared" si="21"/>
        <v>2.85338850375</v>
      </c>
    </row>
    <row r="498" ht="15.75" spans="1:9">
      <c r="A498" s="71"/>
      <c r="B498" s="71"/>
      <c r="C498" s="10"/>
      <c r="D498" s="13" t="s">
        <v>182</v>
      </c>
      <c r="E498" s="15">
        <v>11280</v>
      </c>
      <c r="F498" s="19">
        <v>2119</v>
      </c>
      <c r="G498" s="20">
        <f t="shared" si="22"/>
        <v>0.6669864</v>
      </c>
      <c r="H498" s="20">
        <v>0.0757538728571429</v>
      </c>
      <c r="I498" s="43">
        <f t="shared" si="21"/>
        <v>0.742740272857143</v>
      </c>
    </row>
    <row r="499" ht="15.75" spans="1:9">
      <c r="A499" s="71"/>
      <c r="B499" s="71"/>
      <c r="C499" s="10"/>
      <c r="D499" s="13" t="s">
        <v>214</v>
      </c>
      <c r="E499" s="15">
        <v>124870</v>
      </c>
      <c r="F499" s="15" t="s">
        <v>29</v>
      </c>
      <c r="G499" s="20">
        <f t="shared" si="22"/>
        <v>7.3835631</v>
      </c>
      <c r="H499" s="15" t="s">
        <v>29</v>
      </c>
      <c r="I499" s="43">
        <f>G499</f>
        <v>7.3835631</v>
      </c>
    </row>
    <row r="500" ht="15.75" spans="1:9">
      <c r="A500" s="71"/>
      <c r="B500" s="71"/>
      <c r="C500" s="10"/>
      <c r="D500" s="13" t="s">
        <v>207</v>
      </c>
      <c r="E500" s="15">
        <v>8657</v>
      </c>
      <c r="F500" s="19">
        <v>1908</v>
      </c>
      <c r="G500" s="20">
        <f t="shared" si="22"/>
        <v>0.51188841</v>
      </c>
      <c r="H500" s="20">
        <v>0.0631664307142857</v>
      </c>
      <c r="I500" s="43">
        <f t="shared" ref="I500:I527" si="23">G500+H500</f>
        <v>0.575054840714286</v>
      </c>
    </row>
    <row r="501" ht="15.75" spans="1:9">
      <c r="A501" s="71"/>
      <c r="B501" s="71"/>
      <c r="C501" s="10" t="s">
        <v>95</v>
      </c>
      <c r="D501" s="13" t="s">
        <v>57</v>
      </c>
      <c r="E501" s="15">
        <v>25954</v>
      </c>
      <c r="F501" s="19">
        <v>3964</v>
      </c>
      <c r="G501" s="20">
        <f t="shared" si="22"/>
        <v>1.53466002</v>
      </c>
      <c r="H501" s="20">
        <v>0.0735640423214286</v>
      </c>
      <c r="I501" s="43">
        <f t="shared" si="23"/>
        <v>1.60822406232143</v>
      </c>
    </row>
    <row r="502" ht="15.75" spans="1:9">
      <c r="A502" s="71"/>
      <c r="B502" s="71"/>
      <c r="C502" s="10" t="s">
        <v>184</v>
      </c>
      <c r="D502" s="13" t="s">
        <v>164</v>
      </c>
      <c r="E502" s="15">
        <v>7138</v>
      </c>
      <c r="F502" s="19">
        <v>2524</v>
      </c>
      <c r="G502" s="20">
        <f t="shared" si="22"/>
        <v>0.42206994</v>
      </c>
      <c r="H502" s="20">
        <v>0.0667165510714286</v>
      </c>
      <c r="I502" s="43">
        <f t="shared" si="23"/>
        <v>0.488786491071429</v>
      </c>
    </row>
    <row r="503" ht="15.75" spans="1:9">
      <c r="A503" s="71"/>
      <c r="B503" s="71"/>
      <c r="C503" s="10"/>
      <c r="D503" s="13" t="s">
        <v>163</v>
      </c>
      <c r="E503" s="15">
        <v>56030</v>
      </c>
      <c r="F503" s="19">
        <v>2296</v>
      </c>
      <c r="G503" s="20">
        <f t="shared" si="22"/>
        <v>3.3130539</v>
      </c>
      <c r="H503" s="20">
        <v>0.0601834291071429</v>
      </c>
      <c r="I503" s="43">
        <f t="shared" si="23"/>
        <v>3.37323732910714</v>
      </c>
    </row>
    <row r="504" ht="15.75" spans="1:9">
      <c r="A504" s="71"/>
      <c r="B504" s="71"/>
      <c r="C504" s="10"/>
      <c r="D504" s="13" t="s">
        <v>158</v>
      </c>
      <c r="E504" s="15">
        <v>20643</v>
      </c>
      <c r="F504" s="19">
        <v>3969</v>
      </c>
      <c r="G504" s="20">
        <f t="shared" si="22"/>
        <v>1.22062059</v>
      </c>
      <c r="H504" s="20">
        <v>0.104837881071429</v>
      </c>
      <c r="I504" s="43">
        <f t="shared" si="23"/>
        <v>1.32545847107143</v>
      </c>
    </row>
    <row r="505" ht="15.75" spans="1:9">
      <c r="A505" s="71"/>
      <c r="B505" s="71"/>
      <c r="C505" s="10"/>
      <c r="D505" s="13" t="s">
        <v>208</v>
      </c>
      <c r="E505" s="15">
        <v>8815</v>
      </c>
      <c r="F505" s="19">
        <v>2186</v>
      </c>
      <c r="G505" s="20">
        <f t="shared" si="22"/>
        <v>0.52123095</v>
      </c>
      <c r="H505" s="20">
        <v>0.0663432342857143</v>
      </c>
      <c r="I505" s="43">
        <f t="shared" si="23"/>
        <v>0.587574184285714</v>
      </c>
    </row>
    <row r="506" ht="15.75" spans="1:9">
      <c r="A506" s="71"/>
      <c r="B506" s="71"/>
      <c r="C506" s="10"/>
      <c r="D506" s="13" t="s">
        <v>209</v>
      </c>
      <c r="E506" s="15">
        <v>5931</v>
      </c>
      <c r="F506" s="19">
        <v>2771</v>
      </c>
      <c r="G506" s="20">
        <f t="shared" si="22"/>
        <v>0.35070003</v>
      </c>
      <c r="H506" s="20">
        <v>0.0558082132142857</v>
      </c>
      <c r="I506" s="43">
        <f t="shared" si="23"/>
        <v>0.406508243214286</v>
      </c>
    </row>
    <row r="507" ht="15.75" spans="1:9">
      <c r="A507" s="71"/>
      <c r="B507" s="71"/>
      <c r="C507" s="10"/>
      <c r="D507" s="13" t="s">
        <v>165</v>
      </c>
      <c r="E507" s="15">
        <v>8702</v>
      </c>
      <c r="F507" s="19">
        <v>4321</v>
      </c>
      <c r="G507" s="20">
        <f t="shared" si="22"/>
        <v>0.51454926</v>
      </c>
      <c r="H507" s="20">
        <v>0.0916325069642857</v>
      </c>
      <c r="I507" s="43">
        <f t="shared" si="23"/>
        <v>0.606181766964286</v>
      </c>
    </row>
    <row r="508" ht="15.75" spans="1:9">
      <c r="A508" s="71"/>
      <c r="B508" s="71"/>
      <c r="C508" s="71" t="s">
        <v>58</v>
      </c>
      <c r="D508" s="13" t="s">
        <v>157</v>
      </c>
      <c r="E508" s="15">
        <v>6266</v>
      </c>
      <c r="F508" s="19">
        <v>573</v>
      </c>
      <c r="G508" s="20">
        <f t="shared" si="22"/>
        <v>0.37050858</v>
      </c>
      <c r="H508" s="20">
        <v>0.0173030857142857</v>
      </c>
      <c r="I508" s="43">
        <f t="shared" si="23"/>
        <v>0.387811665714286</v>
      </c>
    </row>
    <row r="509" ht="15.75" spans="1:9">
      <c r="A509" s="71"/>
      <c r="B509" s="71"/>
      <c r="C509" s="10" t="s">
        <v>153</v>
      </c>
      <c r="D509" s="13" t="s">
        <v>155</v>
      </c>
      <c r="E509" s="15">
        <v>18767</v>
      </c>
      <c r="F509" s="19">
        <v>1914</v>
      </c>
      <c r="G509" s="20">
        <f t="shared" si="22"/>
        <v>1.10969271</v>
      </c>
      <c r="H509" s="20">
        <v>0.0742251485714285</v>
      </c>
      <c r="I509" s="43">
        <f t="shared" si="23"/>
        <v>1.18391785857143</v>
      </c>
    </row>
    <row r="510" ht="15.75" spans="1:9">
      <c r="A510" s="71"/>
      <c r="B510" s="71"/>
      <c r="C510" s="10"/>
      <c r="D510" s="13" t="s">
        <v>153</v>
      </c>
      <c r="E510" s="15">
        <v>44844</v>
      </c>
      <c r="F510" s="19">
        <v>2232</v>
      </c>
      <c r="G510" s="20">
        <f t="shared" si="22"/>
        <v>2.65162572</v>
      </c>
      <c r="H510" s="20">
        <v>0.0846638357142857</v>
      </c>
      <c r="I510" s="43">
        <f t="shared" si="23"/>
        <v>2.73628955571429</v>
      </c>
    </row>
    <row r="511" ht="15.75" spans="1:9">
      <c r="A511" s="71"/>
      <c r="B511" s="71"/>
      <c r="C511" s="10"/>
      <c r="D511" s="13" t="s">
        <v>154</v>
      </c>
      <c r="E511" s="15">
        <v>7716</v>
      </c>
      <c r="F511" s="19">
        <v>2902</v>
      </c>
      <c r="G511" s="20">
        <f t="shared" si="22"/>
        <v>0.45624708</v>
      </c>
      <c r="H511" s="20">
        <v>0.0764234392857143</v>
      </c>
      <c r="I511" s="43">
        <f t="shared" si="23"/>
        <v>0.532670519285714</v>
      </c>
    </row>
    <row r="512" ht="15.75" spans="1:9">
      <c r="A512" s="71"/>
      <c r="B512" s="71"/>
      <c r="C512" s="10"/>
      <c r="D512" s="13" t="s">
        <v>200</v>
      </c>
      <c r="E512" s="15">
        <v>9909</v>
      </c>
      <c r="F512" s="19">
        <v>2341</v>
      </c>
      <c r="G512" s="20">
        <f t="shared" si="22"/>
        <v>0.58591917</v>
      </c>
      <c r="H512" s="20">
        <v>0.0804082485714286</v>
      </c>
      <c r="I512" s="43">
        <f t="shared" si="23"/>
        <v>0.666327418571429</v>
      </c>
    </row>
    <row r="513" ht="15.75" spans="1:9">
      <c r="A513" s="71"/>
      <c r="B513" s="71"/>
      <c r="C513" s="10" t="s">
        <v>27</v>
      </c>
      <c r="D513" s="13" t="s">
        <v>31</v>
      </c>
      <c r="E513" s="15">
        <v>17099</v>
      </c>
      <c r="F513" s="19">
        <v>3290</v>
      </c>
      <c r="G513" s="20">
        <f t="shared" si="22"/>
        <v>1.01106387</v>
      </c>
      <c r="H513" s="20">
        <v>0.111983838035714</v>
      </c>
      <c r="I513" s="43">
        <f t="shared" si="23"/>
        <v>1.12304770803571</v>
      </c>
    </row>
    <row r="514" ht="15.75" spans="1:9">
      <c r="A514" s="71"/>
      <c r="B514" s="71"/>
      <c r="C514" s="10"/>
      <c r="D514" s="13" t="s">
        <v>210</v>
      </c>
      <c r="E514" s="15">
        <v>131885</v>
      </c>
      <c r="F514" s="19">
        <v>4095</v>
      </c>
      <c r="G514" s="20">
        <f t="shared" si="22"/>
        <v>7.79836005</v>
      </c>
      <c r="H514" s="20">
        <v>0.0550341916071429</v>
      </c>
      <c r="I514" s="43">
        <f t="shared" si="23"/>
        <v>7.85339424160714</v>
      </c>
    </row>
    <row r="515" ht="15.75" spans="1:9">
      <c r="A515" s="71"/>
      <c r="B515" s="71"/>
      <c r="C515" s="10"/>
      <c r="D515" s="13" t="s">
        <v>211</v>
      </c>
      <c r="E515" s="15">
        <v>10815</v>
      </c>
      <c r="F515" s="19">
        <v>4368</v>
      </c>
      <c r="G515" s="20">
        <f t="shared" si="22"/>
        <v>0.63949095</v>
      </c>
      <c r="H515" s="20">
        <v>0.165433538571429</v>
      </c>
      <c r="I515" s="43">
        <f t="shared" si="23"/>
        <v>0.804924488571429</v>
      </c>
    </row>
    <row r="516" ht="15.75" spans="1:9">
      <c r="A516" s="71"/>
      <c r="B516" s="71"/>
      <c r="C516" s="10"/>
      <c r="D516" s="13" t="s">
        <v>212</v>
      </c>
      <c r="E516" s="15">
        <v>10982</v>
      </c>
      <c r="F516" s="19">
        <v>1700</v>
      </c>
      <c r="G516" s="20">
        <f t="shared" si="22"/>
        <v>0.64936566</v>
      </c>
      <c r="H516" s="20">
        <v>0.0589167357142857</v>
      </c>
      <c r="I516" s="43">
        <f t="shared" si="23"/>
        <v>0.708282395714286</v>
      </c>
    </row>
    <row r="517" ht="15.75" spans="1:9">
      <c r="A517" s="71"/>
      <c r="B517" s="71"/>
      <c r="C517" s="10"/>
      <c r="D517" s="13" t="s">
        <v>213</v>
      </c>
      <c r="E517" s="15">
        <v>14306</v>
      </c>
      <c r="F517" s="19">
        <v>424</v>
      </c>
      <c r="G517" s="20">
        <f t="shared" si="22"/>
        <v>0.84591378</v>
      </c>
      <c r="H517" s="20">
        <v>0.00503870767857143</v>
      </c>
      <c r="I517" s="43">
        <f t="shared" si="23"/>
        <v>0.850952487678571</v>
      </c>
    </row>
    <row r="518" ht="15.75" spans="1:9">
      <c r="A518" s="71"/>
      <c r="B518" s="71"/>
      <c r="C518" s="10"/>
      <c r="D518" s="13" t="s">
        <v>27</v>
      </c>
      <c r="E518" s="15">
        <v>1329254</v>
      </c>
      <c r="F518" s="19">
        <v>122015</v>
      </c>
      <c r="G518" s="20">
        <f t="shared" si="22"/>
        <v>78.59878902</v>
      </c>
      <c r="H518" s="20">
        <v>1.13489735482143</v>
      </c>
      <c r="I518" s="43">
        <f t="shared" si="23"/>
        <v>79.7336863748214</v>
      </c>
    </row>
    <row r="519" ht="15.75" spans="1:9">
      <c r="A519" s="71"/>
      <c r="B519" s="71"/>
      <c r="C519" s="10"/>
      <c r="D519" s="13" t="s">
        <v>28</v>
      </c>
      <c r="E519" s="15">
        <v>46159</v>
      </c>
      <c r="F519" s="19">
        <v>3849</v>
      </c>
      <c r="G519" s="20">
        <f t="shared" si="22"/>
        <v>2.72938167</v>
      </c>
      <c r="H519" s="20">
        <v>0.118073237321429</v>
      </c>
      <c r="I519" s="43">
        <f t="shared" si="23"/>
        <v>2.84745490732143</v>
      </c>
    </row>
    <row r="520" ht="15.75" spans="1:9">
      <c r="A520" s="71"/>
      <c r="B520" s="71"/>
      <c r="C520" s="10" t="s">
        <v>162</v>
      </c>
      <c r="D520" s="13" t="s">
        <v>196</v>
      </c>
      <c r="E520" s="15">
        <v>11021</v>
      </c>
      <c r="F520" s="19">
        <v>3991</v>
      </c>
      <c r="G520" s="20">
        <f t="shared" si="22"/>
        <v>0.65167173</v>
      </c>
      <c r="H520" s="20">
        <v>0.0473626998214286</v>
      </c>
      <c r="I520" s="43">
        <f t="shared" si="23"/>
        <v>0.699034429821429</v>
      </c>
    </row>
    <row r="521" ht="15.75" spans="1:9">
      <c r="A521" s="71"/>
      <c r="B521" s="71"/>
      <c r="C521" s="10"/>
      <c r="D521" s="125" t="s">
        <v>173</v>
      </c>
      <c r="E521" s="15">
        <v>7575</v>
      </c>
      <c r="F521" s="19">
        <v>1079</v>
      </c>
      <c r="G521" s="20">
        <f t="shared" si="22"/>
        <v>0.44790975</v>
      </c>
      <c r="H521" s="20">
        <v>0.0295911757142857</v>
      </c>
      <c r="I521" s="43">
        <f t="shared" si="23"/>
        <v>0.477500925714286</v>
      </c>
    </row>
    <row r="522" ht="15.75" spans="1:9">
      <c r="A522" s="71"/>
      <c r="B522" s="71"/>
      <c r="C522" s="10"/>
      <c r="D522" s="13" t="s">
        <v>169</v>
      </c>
      <c r="E522" s="15">
        <v>5267</v>
      </c>
      <c r="F522" s="19">
        <v>902</v>
      </c>
      <c r="G522" s="20">
        <f t="shared" si="22"/>
        <v>0.31143771</v>
      </c>
      <c r="H522" s="20">
        <v>0.0223970126785714</v>
      </c>
      <c r="I522" s="43">
        <f t="shared" si="23"/>
        <v>0.333834722678571</v>
      </c>
    </row>
    <row r="523" ht="15.75" spans="1:9">
      <c r="A523" s="71"/>
      <c r="B523" s="71"/>
      <c r="C523" s="10"/>
      <c r="D523" s="13" t="s">
        <v>170</v>
      </c>
      <c r="E523" s="15">
        <v>18357</v>
      </c>
      <c r="F523" s="19">
        <v>3774</v>
      </c>
      <c r="G523" s="20">
        <f t="shared" si="22"/>
        <v>1.08544941</v>
      </c>
      <c r="H523" s="20">
        <v>0.0948259310714286</v>
      </c>
      <c r="I523" s="43">
        <f t="shared" si="23"/>
        <v>1.18027534107143</v>
      </c>
    </row>
    <row r="524" ht="15.75" spans="1:9">
      <c r="A524" s="71"/>
      <c r="B524" s="71"/>
      <c r="C524" s="10"/>
      <c r="D524" s="125" t="s">
        <v>167</v>
      </c>
      <c r="E524" s="15">
        <v>39811</v>
      </c>
      <c r="F524" s="19">
        <v>3848</v>
      </c>
      <c r="G524" s="20">
        <f t="shared" si="22"/>
        <v>2.35402443</v>
      </c>
      <c r="H524" s="20">
        <v>0.100409648928571</v>
      </c>
      <c r="I524" s="43">
        <f t="shared" si="23"/>
        <v>2.45443407892857</v>
      </c>
    </row>
    <row r="525" ht="15.75" spans="1:9">
      <c r="A525" s="71"/>
      <c r="B525" s="71"/>
      <c r="C525" s="10"/>
      <c r="D525" s="13" t="s">
        <v>197</v>
      </c>
      <c r="E525" s="15">
        <v>15259</v>
      </c>
      <c r="F525" s="19">
        <v>1828</v>
      </c>
      <c r="G525" s="20">
        <f t="shared" si="22"/>
        <v>0.90226467</v>
      </c>
      <c r="H525" s="20">
        <v>0.0542645108928572</v>
      </c>
      <c r="I525" s="43">
        <f t="shared" si="23"/>
        <v>0.956529180892857</v>
      </c>
    </row>
    <row r="526" ht="15.75" spans="1:9">
      <c r="A526" s="71"/>
      <c r="B526" s="71"/>
      <c r="C526" s="10"/>
      <c r="D526" s="125" t="s">
        <v>166</v>
      </c>
      <c r="E526" s="15">
        <v>28641</v>
      </c>
      <c r="F526" s="19">
        <v>6211</v>
      </c>
      <c r="G526" s="20">
        <f t="shared" si="22"/>
        <v>1.69354233</v>
      </c>
      <c r="H526" s="20">
        <v>0.195211685535714</v>
      </c>
      <c r="I526" s="43">
        <f t="shared" si="23"/>
        <v>1.88875401553571</v>
      </c>
    </row>
    <row r="527" ht="15.75" spans="1:9">
      <c r="A527" s="71"/>
      <c r="B527" s="71"/>
      <c r="C527" s="10"/>
      <c r="D527" s="125" t="s">
        <v>188</v>
      </c>
      <c r="E527" s="15">
        <v>182931</v>
      </c>
      <c r="F527" s="19">
        <v>18150</v>
      </c>
      <c r="G527" s="20">
        <f t="shared" si="22"/>
        <v>10.81671003</v>
      </c>
      <c r="H527" s="20">
        <v>0.561806865892857</v>
      </c>
      <c r="I527" s="43">
        <f t="shared" si="23"/>
        <v>11.3785168958929</v>
      </c>
    </row>
    <row r="529" ht="18.75" spans="1:9">
      <c r="A529" s="39" t="s">
        <v>102</v>
      </c>
      <c r="B529" s="39"/>
      <c r="C529" s="39"/>
      <c r="D529" s="39"/>
      <c r="E529" s="39"/>
      <c r="F529" s="39"/>
      <c r="G529" s="39"/>
      <c r="H529" s="39"/>
      <c r="I529" s="39"/>
    </row>
    <row r="530" ht="15.75" spans="1:9">
      <c r="A530" s="40" t="s">
        <v>7</v>
      </c>
      <c r="B530" s="40"/>
      <c r="C530" s="40"/>
      <c r="D530" s="40"/>
      <c r="E530" s="4"/>
      <c r="F530" s="40" t="s">
        <v>8</v>
      </c>
      <c r="G530" s="40"/>
      <c r="H530" s="40"/>
      <c r="I530" s="40"/>
    </row>
    <row r="531" ht="47.25" spans="1:9">
      <c r="A531" s="9" t="s">
        <v>103</v>
      </c>
      <c r="B531" s="10" t="s">
        <v>104</v>
      </c>
      <c r="C531" s="9" t="s">
        <v>11</v>
      </c>
      <c r="D531" s="9" t="s">
        <v>12</v>
      </c>
      <c r="E531" s="10" t="s">
        <v>13</v>
      </c>
      <c r="F531" s="10" t="s">
        <v>84</v>
      </c>
      <c r="G531" s="10" t="s">
        <v>15</v>
      </c>
      <c r="H531" s="10" t="s">
        <v>16</v>
      </c>
      <c r="I531" s="10" t="s">
        <v>17</v>
      </c>
    </row>
    <row r="532" ht="15.75" spans="1:9">
      <c r="A532" s="9" t="s">
        <v>18</v>
      </c>
      <c r="B532" s="10" t="s">
        <v>19</v>
      </c>
      <c r="C532" s="9" t="s">
        <v>20</v>
      </c>
      <c r="D532" s="10" t="s">
        <v>21</v>
      </c>
      <c r="E532" s="10" t="s">
        <v>22</v>
      </c>
      <c r="F532" s="10" t="s">
        <v>23</v>
      </c>
      <c r="G532" s="10" t="s">
        <v>24</v>
      </c>
      <c r="H532" s="10" t="s">
        <v>25</v>
      </c>
      <c r="I532" s="10" t="s">
        <v>26</v>
      </c>
    </row>
    <row r="533" ht="15.75" spans="1:9">
      <c r="A533" s="70">
        <v>1</v>
      </c>
      <c r="B533" s="71">
        <v>2025</v>
      </c>
      <c r="C533" s="10" t="s">
        <v>78</v>
      </c>
      <c r="D533" s="13" t="s">
        <v>78</v>
      </c>
      <c r="E533" s="14">
        <v>92959</v>
      </c>
      <c r="F533" s="19">
        <v>40355</v>
      </c>
      <c r="G533" s="16">
        <f t="shared" ref="G533:G596" si="24">E533*(65.19*365)/POWER(10,9)</f>
        <v>2.21189898165</v>
      </c>
      <c r="H533" s="20">
        <v>1.47945387428571</v>
      </c>
      <c r="I533" s="16">
        <f t="shared" ref="I533:I596" si="25">G533+H533</f>
        <v>3.69135285593571</v>
      </c>
    </row>
    <row r="534" ht="15.75" spans="1:9">
      <c r="A534" s="83"/>
      <c r="B534" s="71"/>
      <c r="C534" s="10"/>
      <c r="D534" s="13" t="s">
        <v>180</v>
      </c>
      <c r="E534" s="14">
        <v>164564</v>
      </c>
      <c r="F534" s="19">
        <v>137350</v>
      </c>
      <c r="G534" s="16">
        <f t="shared" si="24"/>
        <v>3.9156934134</v>
      </c>
      <c r="H534" s="20">
        <v>2.559944519956</v>
      </c>
      <c r="I534" s="16">
        <f t="shared" si="25"/>
        <v>6.475637933356</v>
      </c>
    </row>
    <row r="535" ht="15.75" spans="1:9">
      <c r="A535" s="83"/>
      <c r="B535" s="71"/>
      <c r="C535" s="10"/>
      <c r="D535" s="13" t="s">
        <v>179</v>
      </c>
      <c r="E535" s="14">
        <v>211133</v>
      </c>
      <c r="F535" s="19">
        <v>1108995</v>
      </c>
      <c r="G535" s="16">
        <f t="shared" si="24"/>
        <v>5.02377249855</v>
      </c>
      <c r="H535" s="20">
        <v>3.99897120244332</v>
      </c>
      <c r="I535" s="16">
        <f t="shared" si="25"/>
        <v>9.02274370099332</v>
      </c>
    </row>
    <row r="536" ht="15.75" spans="1:9">
      <c r="A536" s="83"/>
      <c r="B536" s="71"/>
      <c r="C536" s="10"/>
      <c r="D536" s="13" t="s">
        <v>178</v>
      </c>
      <c r="E536" s="14">
        <v>156659</v>
      </c>
      <c r="F536" s="19">
        <v>320146</v>
      </c>
      <c r="G536" s="16">
        <f t="shared" si="24"/>
        <v>3.72759907665</v>
      </c>
      <c r="H536" s="20">
        <v>3.70950508964286</v>
      </c>
      <c r="I536" s="16">
        <f t="shared" si="25"/>
        <v>7.43710416629286</v>
      </c>
    </row>
    <row r="537" ht="15.75" spans="1:9">
      <c r="A537" s="83"/>
      <c r="B537" s="71"/>
      <c r="C537" s="10"/>
      <c r="D537" s="13" t="s">
        <v>66</v>
      </c>
      <c r="E537" s="14">
        <v>113308</v>
      </c>
      <c r="F537" s="19">
        <v>122558</v>
      </c>
      <c r="G537" s="16">
        <f t="shared" si="24"/>
        <v>2.6960902098</v>
      </c>
      <c r="H537" s="20">
        <v>1.82599805925984</v>
      </c>
      <c r="I537" s="16">
        <f t="shared" si="25"/>
        <v>4.52208826905984</v>
      </c>
    </row>
    <row r="538" ht="15.75" spans="1:9">
      <c r="A538" s="83"/>
      <c r="B538" s="71"/>
      <c r="C538" s="10" t="s">
        <v>33</v>
      </c>
      <c r="D538" s="13" t="s">
        <v>33</v>
      </c>
      <c r="E538" s="14">
        <v>151350</v>
      </c>
      <c r="F538" s="19">
        <v>93470</v>
      </c>
      <c r="G538" s="16">
        <f t="shared" si="24"/>
        <v>3.6012748725</v>
      </c>
      <c r="H538" s="20">
        <v>3.29753626456367</v>
      </c>
      <c r="I538" s="16">
        <f t="shared" si="25"/>
        <v>6.89881113706367</v>
      </c>
    </row>
    <row r="539" ht="15.75" spans="1:9">
      <c r="A539" s="83"/>
      <c r="B539" s="71"/>
      <c r="C539" s="10"/>
      <c r="D539" s="13" t="s">
        <v>161</v>
      </c>
      <c r="E539" s="14">
        <v>151182</v>
      </c>
      <c r="F539" s="19">
        <v>132177</v>
      </c>
      <c r="G539" s="16">
        <f t="shared" si="24"/>
        <v>3.5972774217</v>
      </c>
      <c r="H539" s="20">
        <v>3.79829608464286</v>
      </c>
      <c r="I539" s="16">
        <f t="shared" si="25"/>
        <v>7.39557350634286</v>
      </c>
    </row>
    <row r="540" ht="15.75" spans="1:9">
      <c r="A540" s="83"/>
      <c r="B540" s="71"/>
      <c r="C540" s="10"/>
      <c r="D540" s="13" t="s">
        <v>32</v>
      </c>
      <c r="E540" s="14">
        <v>92171</v>
      </c>
      <c r="F540" s="19">
        <v>51178</v>
      </c>
      <c r="G540" s="16">
        <f t="shared" si="24"/>
        <v>2.19314903385</v>
      </c>
      <c r="H540" s="20">
        <v>1.4172263313455</v>
      </c>
      <c r="I540" s="16">
        <f t="shared" si="25"/>
        <v>3.6103753651955</v>
      </c>
    </row>
    <row r="541" ht="15.75" spans="1:9">
      <c r="A541" s="83"/>
      <c r="B541" s="71"/>
      <c r="C541" s="10"/>
      <c r="D541" s="13" t="s">
        <v>160</v>
      </c>
      <c r="E541" s="14">
        <v>202185</v>
      </c>
      <c r="F541" s="19">
        <v>961803</v>
      </c>
      <c r="G541" s="16">
        <f t="shared" si="24"/>
        <v>4.81086065475</v>
      </c>
      <c r="H541" s="20">
        <v>3.76439801321429</v>
      </c>
      <c r="I541" s="16">
        <f t="shared" si="25"/>
        <v>8.57525866796429</v>
      </c>
    </row>
    <row r="542" ht="15.75" spans="1:9">
      <c r="A542" s="83"/>
      <c r="B542" s="71"/>
      <c r="C542" s="9" t="s">
        <v>174</v>
      </c>
      <c r="D542" s="13" t="s">
        <v>174</v>
      </c>
      <c r="E542" s="14">
        <v>241718</v>
      </c>
      <c r="F542" s="19">
        <v>231533</v>
      </c>
      <c r="G542" s="16">
        <f t="shared" si="24"/>
        <v>5.7515226933</v>
      </c>
      <c r="H542" s="20">
        <v>6.41829782660714</v>
      </c>
      <c r="I542" s="16">
        <f t="shared" si="25"/>
        <v>12.1698205199071</v>
      </c>
    </row>
    <row r="543" ht="15.75" spans="1:9">
      <c r="A543" s="83"/>
      <c r="B543" s="71"/>
      <c r="C543" s="9"/>
      <c r="D543" s="13" t="s">
        <v>176</v>
      </c>
      <c r="E543" s="14">
        <v>256054</v>
      </c>
      <c r="F543" s="19">
        <v>157303</v>
      </c>
      <c r="G543" s="16">
        <f t="shared" si="24"/>
        <v>6.0926384949</v>
      </c>
      <c r="H543" s="20">
        <v>5.32554140339286</v>
      </c>
      <c r="I543" s="16">
        <f t="shared" si="25"/>
        <v>11.4181798982929</v>
      </c>
    </row>
    <row r="544" ht="15.75" spans="1:9">
      <c r="A544" s="83"/>
      <c r="B544" s="71"/>
      <c r="C544" s="9"/>
      <c r="D544" s="13" t="s">
        <v>177</v>
      </c>
      <c r="E544" s="14">
        <v>206381</v>
      </c>
      <c r="F544" s="19">
        <v>133481</v>
      </c>
      <c r="G544" s="16">
        <f t="shared" si="24"/>
        <v>4.91070174735</v>
      </c>
      <c r="H544" s="20">
        <v>4.11016411660714</v>
      </c>
      <c r="I544" s="16">
        <f t="shared" si="25"/>
        <v>9.02086586395714</v>
      </c>
    </row>
    <row r="545" ht="15.75" spans="1:9">
      <c r="A545" s="83"/>
      <c r="B545" s="71"/>
      <c r="C545" s="10" t="s">
        <v>48</v>
      </c>
      <c r="D545" s="13" t="s">
        <v>175</v>
      </c>
      <c r="E545" s="14">
        <v>245592</v>
      </c>
      <c r="F545" s="19">
        <v>150757</v>
      </c>
      <c r="G545" s="16">
        <f t="shared" si="24"/>
        <v>5.8437020052</v>
      </c>
      <c r="H545" s="20">
        <v>5.06053207142857</v>
      </c>
      <c r="I545" s="16">
        <f t="shared" si="25"/>
        <v>10.9042340766286</v>
      </c>
    </row>
    <row r="546" ht="15.75" spans="1:9">
      <c r="A546" s="83"/>
      <c r="B546" s="71"/>
      <c r="C546" s="10"/>
      <c r="D546" s="13" t="s">
        <v>150</v>
      </c>
      <c r="E546" s="14">
        <v>303881</v>
      </c>
      <c r="F546" s="19">
        <v>131180</v>
      </c>
      <c r="G546" s="16">
        <f t="shared" si="24"/>
        <v>7.23065087235</v>
      </c>
      <c r="H546" s="20">
        <v>4.11931408</v>
      </c>
      <c r="I546" s="16">
        <f t="shared" si="25"/>
        <v>11.34996495235</v>
      </c>
    </row>
    <row r="547" ht="15.75" spans="1:9">
      <c r="A547" s="83"/>
      <c r="B547" s="71"/>
      <c r="C547" s="10"/>
      <c r="D547" s="13" t="s">
        <v>149</v>
      </c>
      <c r="E547" s="14">
        <v>426087</v>
      </c>
      <c r="F547" s="19">
        <v>359137</v>
      </c>
      <c r="G547" s="16">
        <f t="shared" si="24"/>
        <v>10.13846320845</v>
      </c>
      <c r="H547" s="20">
        <v>6.842811585</v>
      </c>
      <c r="I547" s="16">
        <f t="shared" si="25"/>
        <v>16.98127479345</v>
      </c>
    </row>
    <row r="548" ht="15.75" spans="1:9">
      <c r="A548" s="83"/>
      <c r="B548" s="71"/>
      <c r="C548" s="10"/>
      <c r="D548" s="13" t="s">
        <v>147</v>
      </c>
      <c r="E548" s="14">
        <v>313958</v>
      </c>
      <c r="F548" s="19">
        <v>202847</v>
      </c>
      <c r="G548" s="16">
        <f t="shared" si="24"/>
        <v>7.4704265373</v>
      </c>
      <c r="H548" s="20">
        <v>5.00977079142857</v>
      </c>
      <c r="I548" s="16">
        <f t="shared" si="25"/>
        <v>12.4801973287286</v>
      </c>
    </row>
    <row r="549" ht="15.75" spans="1:9">
      <c r="A549" s="83"/>
      <c r="B549" s="71"/>
      <c r="C549" s="10" t="s">
        <v>37</v>
      </c>
      <c r="D549" s="13" t="s">
        <v>148</v>
      </c>
      <c r="E549" s="14">
        <v>267524</v>
      </c>
      <c r="F549" s="19">
        <v>857057</v>
      </c>
      <c r="G549" s="16">
        <f t="shared" si="24"/>
        <v>6.3655596894</v>
      </c>
      <c r="H549" s="20">
        <v>5.39757477910714</v>
      </c>
      <c r="I549" s="16">
        <f t="shared" si="25"/>
        <v>11.7631344685071</v>
      </c>
    </row>
    <row r="550" ht="15.75" spans="1:9">
      <c r="A550" s="83"/>
      <c r="B550" s="71"/>
      <c r="C550" s="10"/>
      <c r="D550" s="13" t="s">
        <v>37</v>
      </c>
      <c r="E550" s="14">
        <v>45543</v>
      </c>
      <c r="F550" s="19">
        <v>94420</v>
      </c>
      <c r="G550" s="16">
        <f t="shared" si="24"/>
        <v>1.08366608205</v>
      </c>
      <c r="H550" s="20">
        <v>0.811848772311954</v>
      </c>
      <c r="I550" s="16">
        <f t="shared" si="25"/>
        <v>1.89551485436195</v>
      </c>
    </row>
    <row r="551" ht="15.75" spans="1:9">
      <c r="A551" s="83"/>
      <c r="B551" s="71"/>
      <c r="C551" s="10" t="s">
        <v>65</v>
      </c>
      <c r="D551" s="13" t="s">
        <v>39</v>
      </c>
      <c r="E551" s="14">
        <v>51082</v>
      </c>
      <c r="F551" s="19">
        <v>44483</v>
      </c>
      <c r="G551" s="16">
        <f t="shared" si="24"/>
        <v>1.2154629867</v>
      </c>
      <c r="H551" s="20">
        <v>1.41737844447109</v>
      </c>
      <c r="I551" s="16">
        <f t="shared" si="25"/>
        <v>2.63284143117109</v>
      </c>
    </row>
    <row r="552" ht="15.75" spans="1:9">
      <c r="A552" s="83"/>
      <c r="B552" s="71"/>
      <c r="C552" s="10"/>
      <c r="D552" s="13" t="s">
        <v>181</v>
      </c>
      <c r="E552" s="14">
        <v>296792</v>
      </c>
      <c r="F552" s="19">
        <v>136697</v>
      </c>
      <c r="G552" s="16">
        <f t="shared" si="24"/>
        <v>7.0619727252</v>
      </c>
      <c r="H552" s="20">
        <v>4.29037550142857</v>
      </c>
      <c r="I552" s="16">
        <f t="shared" si="25"/>
        <v>11.3523482266286</v>
      </c>
    </row>
    <row r="553" ht="15.75" spans="1:9">
      <c r="A553" s="83"/>
      <c r="B553" s="71"/>
      <c r="C553" s="10"/>
      <c r="D553" s="13" t="s">
        <v>65</v>
      </c>
      <c r="E553" s="14">
        <v>217220</v>
      </c>
      <c r="F553" s="19">
        <v>65048</v>
      </c>
      <c r="G553" s="16">
        <f t="shared" si="24"/>
        <v>5.168608707</v>
      </c>
      <c r="H553" s="20">
        <v>2.33990998428571</v>
      </c>
      <c r="I553" s="16">
        <f t="shared" si="25"/>
        <v>7.50851869128571</v>
      </c>
    </row>
    <row r="554" ht="15.75" spans="1:9">
      <c r="A554" s="83"/>
      <c r="B554" s="71"/>
      <c r="C554" s="10"/>
      <c r="D554" s="13" t="s">
        <v>182</v>
      </c>
      <c r="E554" s="14">
        <v>253593</v>
      </c>
      <c r="F554" s="19">
        <v>958767</v>
      </c>
      <c r="G554" s="16">
        <f t="shared" si="24"/>
        <v>6.03408059955</v>
      </c>
      <c r="H554" s="20">
        <v>4.32576060892857</v>
      </c>
      <c r="I554" s="16">
        <f t="shared" si="25"/>
        <v>10.3598412084786</v>
      </c>
    </row>
    <row r="555" ht="15.75" spans="1:9">
      <c r="A555" s="83"/>
      <c r="B555" s="71"/>
      <c r="C555" s="11" t="s">
        <v>185</v>
      </c>
      <c r="D555" s="13" t="s">
        <v>151</v>
      </c>
      <c r="E555" s="14">
        <v>209091</v>
      </c>
      <c r="F555" s="19">
        <v>96276</v>
      </c>
      <c r="G555" s="16">
        <f t="shared" si="24"/>
        <v>4.97518443585</v>
      </c>
      <c r="H555" s="20">
        <v>2.4834125102004</v>
      </c>
      <c r="I555" s="16">
        <f t="shared" si="25"/>
        <v>7.4585969460504</v>
      </c>
    </row>
    <row r="556" ht="15.75" spans="1:9">
      <c r="A556" s="83"/>
      <c r="B556" s="71"/>
      <c r="C556" s="23"/>
      <c r="D556" s="13" t="s">
        <v>152</v>
      </c>
      <c r="E556" s="14">
        <v>16267</v>
      </c>
      <c r="F556" s="19">
        <v>23171</v>
      </c>
      <c r="G556" s="16">
        <f t="shared" si="24"/>
        <v>0.38706269145</v>
      </c>
      <c r="H556" s="20">
        <v>0.202762186287143</v>
      </c>
      <c r="I556" s="16">
        <f t="shared" si="25"/>
        <v>0.589824877737143</v>
      </c>
    </row>
    <row r="557" ht="15.75" spans="1:9">
      <c r="A557" s="83"/>
      <c r="B557" s="71"/>
      <c r="C557" s="10" t="s">
        <v>95</v>
      </c>
      <c r="D557" s="13" t="s">
        <v>57</v>
      </c>
      <c r="E557" s="14">
        <v>111655</v>
      </c>
      <c r="F557" s="19">
        <v>46120</v>
      </c>
      <c r="G557" s="16">
        <f t="shared" si="24"/>
        <v>2.65675814925</v>
      </c>
      <c r="H557" s="20">
        <v>1.43814767136051</v>
      </c>
      <c r="I557" s="16">
        <f t="shared" si="25"/>
        <v>4.09490582061051</v>
      </c>
    </row>
    <row r="558" ht="15.75" spans="1:9">
      <c r="A558" s="83"/>
      <c r="B558" s="71"/>
      <c r="C558" s="10"/>
      <c r="D558" s="13" t="s">
        <v>77</v>
      </c>
      <c r="E558" s="14">
        <v>40415</v>
      </c>
      <c r="F558" s="19">
        <v>20975</v>
      </c>
      <c r="G558" s="16">
        <f t="shared" si="24"/>
        <v>0.96164865525</v>
      </c>
      <c r="H558" s="20">
        <v>0.3068448852525</v>
      </c>
      <c r="I558" s="16">
        <f t="shared" si="25"/>
        <v>1.2684935405025</v>
      </c>
    </row>
    <row r="559" ht="15.75" spans="1:9">
      <c r="A559" s="83"/>
      <c r="B559" s="71"/>
      <c r="C559" s="10"/>
      <c r="D559" s="13" t="s">
        <v>52</v>
      </c>
      <c r="E559" s="14">
        <v>92093</v>
      </c>
      <c r="F559" s="19">
        <v>40201</v>
      </c>
      <c r="G559" s="16">
        <f t="shared" si="24"/>
        <v>2.19129307455</v>
      </c>
      <c r="H559" s="20">
        <v>0.893431666493132</v>
      </c>
      <c r="I559" s="16">
        <f t="shared" si="25"/>
        <v>3.08472474104313</v>
      </c>
    </row>
    <row r="560" ht="15.75" spans="1:9">
      <c r="A560" s="83"/>
      <c r="B560" s="71"/>
      <c r="C560" s="9" t="s">
        <v>184</v>
      </c>
      <c r="D560" s="13" t="s">
        <v>164</v>
      </c>
      <c r="E560" s="14">
        <v>304597</v>
      </c>
      <c r="F560" s="19">
        <v>123225</v>
      </c>
      <c r="G560" s="16">
        <f t="shared" si="24"/>
        <v>7.24768762695</v>
      </c>
      <c r="H560" s="20">
        <v>3.58491153328095</v>
      </c>
      <c r="I560" s="16">
        <f t="shared" si="25"/>
        <v>10.8325991602309</v>
      </c>
    </row>
    <row r="561" ht="15.75" spans="1:9">
      <c r="A561" s="83"/>
      <c r="B561" s="71"/>
      <c r="C561" s="9"/>
      <c r="D561" s="13" t="s">
        <v>163</v>
      </c>
      <c r="E561" s="14">
        <v>127830</v>
      </c>
      <c r="F561" s="19">
        <v>94423</v>
      </c>
      <c r="G561" s="16">
        <f t="shared" si="24"/>
        <v>3.0416317605</v>
      </c>
      <c r="H561" s="20">
        <v>3.56281994553572</v>
      </c>
      <c r="I561" s="16">
        <f t="shared" si="25"/>
        <v>6.60445170603572</v>
      </c>
    </row>
    <row r="562" ht="15.75" spans="1:9">
      <c r="A562" s="83"/>
      <c r="B562" s="71"/>
      <c r="C562" s="9"/>
      <c r="D562" s="13" t="s">
        <v>158</v>
      </c>
      <c r="E562" s="14">
        <v>270945</v>
      </c>
      <c r="F562" s="19">
        <v>133676</v>
      </c>
      <c r="G562" s="16">
        <f t="shared" si="24"/>
        <v>6.44696016075</v>
      </c>
      <c r="H562" s="20">
        <v>4.2023144491254</v>
      </c>
      <c r="I562" s="16">
        <f t="shared" si="25"/>
        <v>10.6492746098754</v>
      </c>
    </row>
    <row r="563" ht="15.75" spans="1:9">
      <c r="A563" s="83"/>
      <c r="B563" s="71"/>
      <c r="C563" s="9"/>
      <c r="D563" s="13" t="s">
        <v>165</v>
      </c>
      <c r="E563" s="14">
        <v>158316</v>
      </c>
      <c r="F563" s="19">
        <v>260077</v>
      </c>
      <c r="G563" s="16">
        <f t="shared" si="24"/>
        <v>3.7670263146</v>
      </c>
      <c r="H563" s="20">
        <v>3.22538301178571</v>
      </c>
      <c r="I563" s="16">
        <f t="shared" si="25"/>
        <v>6.99240932638571</v>
      </c>
    </row>
    <row r="564" ht="15.75" spans="1:9">
      <c r="A564" s="83"/>
      <c r="B564" s="71"/>
      <c r="C564" s="10" t="s">
        <v>71</v>
      </c>
      <c r="D564" s="151" t="s">
        <v>70</v>
      </c>
      <c r="E564" s="44">
        <v>8114</v>
      </c>
      <c r="F564" s="19">
        <v>17664</v>
      </c>
      <c r="G564" s="16">
        <f t="shared" si="24"/>
        <v>0.1930673559</v>
      </c>
      <c r="H564" s="20">
        <v>0.146911383062196</v>
      </c>
      <c r="I564" s="16">
        <f t="shared" si="25"/>
        <v>0.339978738962196</v>
      </c>
    </row>
    <row r="565" ht="15.75" spans="1:9">
      <c r="A565" s="83"/>
      <c r="B565" s="71"/>
      <c r="C565" s="10"/>
      <c r="D565" s="151" t="s">
        <v>73</v>
      </c>
      <c r="E565" s="44">
        <v>3721</v>
      </c>
      <c r="F565" s="19">
        <v>8939</v>
      </c>
      <c r="G565" s="16">
        <f t="shared" si="24"/>
        <v>0.08853877635</v>
      </c>
      <c r="H565" s="20">
        <v>0.10054842676065</v>
      </c>
      <c r="I565" s="16">
        <f t="shared" si="25"/>
        <v>0.18908720311065</v>
      </c>
    </row>
    <row r="566" ht="15.75" spans="1:9">
      <c r="A566" s="83"/>
      <c r="B566" s="71"/>
      <c r="C566" s="10"/>
      <c r="D566" s="151" t="s">
        <v>183</v>
      </c>
      <c r="E566" s="44">
        <v>345</v>
      </c>
      <c r="F566" s="19">
        <v>355</v>
      </c>
      <c r="G566" s="16">
        <f t="shared" si="24"/>
        <v>0.00820905075</v>
      </c>
      <c r="H566" s="20">
        <v>0.00429537660211429</v>
      </c>
      <c r="I566" s="16">
        <f t="shared" si="25"/>
        <v>0.0125044273521143</v>
      </c>
    </row>
    <row r="567" ht="15.75" spans="1:9">
      <c r="A567" s="83"/>
      <c r="B567" s="71"/>
      <c r="C567" s="10" t="s">
        <v>58</v>
      </c>
      <c r="D567" s="13" t="s">
        <v>156</v>
      </c>
      <c r="E567" s="14">
        <v>1174</v>
      </c>
      <c r="F567" s="19">
        <v>812</v>
      </c>
      <c r="G567" s="16">
        <f t="shared" si="24"/>
        <v>0.0279345669</v>
      </c>
      <c r="H567" s="20">
        <v>0.0281984017845</v>
      </c>
      <c r="I567" s="16">
        <f t="shared" si="25"/>
        <v>0.0561329686845</v>
      </c>
    </row>
    <row r="568" ht="15.75" spans="1:9">
      <c r="A568" s="83"/>
      <c r="B568" s="71"/>
      <c r="C568" s="10"/>
      <c r="D568" s="13" t="s">
        <v>157</v>
      </c>
      <c r="E568" s="14">
        <v>107238</v>
      </c>
      <c r="F568" s="19">
        <v>125808</v>
      </c>
      <c r="G568" s="16">
        <f t="shared" si="24"/>
        <v>2.5516585053</v>
      </c>
      <c r="H568" s="20">
        <v>2.67633580220484</v>
      </c>
      <c r="I568" s="16">
        <f t="shared" si="25"/>
        <v>5.22799430750484</v>
      </c>
    </row>
    <row r="569" ht="15.75" spans="1:9">
      <c r="A569" s="83"/>
      <c r="B569" s="71"/>
      <c r="C569" s="10" t="s">
        <v>153</v>
      </c>
      <c r="D569" s="13" t="s">
        <v>155</v>
      </c>
      <c r="E569" s="14">
        <v>537489</v>
      </c>
      <c r="F569" s="19">
        <v>134416</v>
      </c>
      <c r="G569" s="16">
        <f t="shared" si="24"/>
        <v>12.78920138715</v>
      </c>
      <c r="H569" s="20">
        <v>4.42288764160957</v>
      </c>
      <c r="I569" s="16">
        <f t="shared" si="25"/>
        <v>17.2120890287596</v>
      </c>
    </row>
    <row r="570" ht="15.75" spans="1:9">
      <c r="A570" s="83"/>
      <c r="B570" s="71"/>
      <c r="C570" s="10"/>
      <c r="D570" s="13" t="s">
        <v>153</v>
      </c>
      <c r="E570" s="14">
        <v>202489</v>
      </c>
      <c r="F570" s="19">
        <v>166710</v>
      </c>
      <c r="G570" s="16">
        <f t="shared" si="24"/>
        <v>4.81809413715</v>
      </c>
      <c r="H570" s="20">
        <v>4.54498771714286</v>
      </c>
      <c r="I570" s="16">
        <f t="shared" si="25"/>
        <v>9.36308185429286</v>
      </c>
    </row>
    <row r="571" ht="15.75" spans="1:9">
      <c r="A571" s="83"/>
      <c r="B571" s="71"/>
      <c r="C571" s="10"/>
      <c r="D571" s="13" t="s">
        <v>154</v>
      </c>
      <c r="E571" s="14">
        <v>170988</v>
      </c>
      <c r="F571" s="19">
        <v>104426</v>
      </c>
      <c r="G571" s="16">
        <f t="shared" si="24"/>
        <v>4.0685483178</v>
      </c>
      <c r="H571" s="20">
        <v>3.52161229285714</v>
      </c>
      <c r="I571" s="16">
        <f t="shared" si="25"/>
        <v>7.59016061065714</v>
      </c>
    </row>
    <row r="572" ht="15.75" spans="1:9">
      <c r="A572" s="83"/>
      <c r="B572" s="71"/>
      <c r="C572" s="10" t="s">
        <v>27</v>
      </c>
      <c r="D572" s="13" t="s">
        <v>31</v>
      </c>
      <c r="E572" s="14">
        <v>113114</v>
      </c>
      <c r="F572" s="19">
        <v>120302</v>
      </c>
      <c r="G572" s="16">
        <f t="shared" si="24"/>
        <v>2.6914741059</v>
      </c>
      <c r="H572" s="20">
        <v>1.72383011245506</v>
      </c>
      <c r="I572" s="16">
        <f t="shared" si="25"/>
        <v>4.41530421835506</v>
      </c>
    </row>
    <row r="573" ht="15.75" spans="1:9">
      <c r="A573" s="83"/>
      <c r="B573" s="71"/>
      <c r="C573" s="10"/>
      <c r="D573" s="13" t="s">
        <v>30</v>
      </c>
      <c r="E573" s="14">
        <v>114807</v>
      </c>
      <c r="F573" s="19">
        <v>191174</v>
      </c>
      <c r="G573" s="16">
        <f t="shared" si="24"/>
        <v>2.73175794045</v>
      </c>
      <c r="H573" s="20">
        <v>1.8003078081986</v>
      </c>
      <c r="I573" s="16">
        <f t="shared" si="25"/>
        <v>4.5320657486486</v>
      </c>
    </row>
    <row r="574" ht="15.75" spans="1:9">
      <c r="A574" s="83"/>
      <c r="B574" s="71"/>
      <c r="C574" s="10"/>
      <c r="D574" s="13" t="s">
        <v>159</v>
      </c>
      <c r="E574" s="14">
        <v>218941</v>
      </c>
      <c r="F574" s="19">
        <v>1511713</v>
      </c>
      <c r="G574" s="16">
        <f t="shared" si="24"/>
        <v>5.20955878335</v>
      </c>
      <c r="H574" s="20">
        <v>2.30109226035714</v>
      </c>
      <c r="I574" s="16">
        <f t="shared" si="25"/>
        <v>7.51065104370714</v>
      </c>
    </row>
    <row r="575" ht="15.75" spans="1:9">
      <c r="A575" s="83"/>
      <c r="B575" s="71"/>
      <c r="C575" s="10"/>
      <c r="D575" s="13" t="s">
        <v>28</v>
      </c>
      <c r="E575" s="14">
        <v>225656</v>
      </c>
      <c r="F575" s="19">
        <v>665285</v>
      </c>
      <c r="G575" s="16">
        <f t="shared" si="24"/>
        <v>5.3693378436</v>
      </c>
      <c r="H575" s="20">
        <v>2.94073435858881</v>
      </c>
      <c r="I575" s="16">
        <f t="shared" si="25"/>
        <v>8.31007220218881</v>
      </c>
    </row>
    <row r="576" ht="15.75" spans="1:9">
      <c r="A576" s="83"/>
      <c r="B576" s="71"/>
      <c r="C576" s="9" t="s">
        <v>162</v>
      </c>
      <c r="D576" s="13" t="s">
        <v>171</v>
      </c>
      <c r="E576" s="14">
        <v>120593</v>
      </c>
      <c r="F576" s="19">
        <v>148832</v>
      </c>
      <c r="G576" s="16">
        <f t="shared" si="24"/>
        <v>2.86943204955</v>
      </c>
      <c r="H576" s="20">
        <v>2.004208065</v>
      </c>
      <c r="I576" s="16">
        <f t="shared" si="25"/>
        <v>4.87364011455</v>
      </c>
    </row>
    <row r="577" ht="15.75" spans="1:9">
      <c r="A577" s="83"/>
      <c r="B577" s="71"/>
      <c r="C577" s="9"/>
      <c r="D577" s="13" t="s">
        <v>173</v>
      </c>
      <c r="E577" s="14">
        <v>220063</v>
      </c>
      <c r="F577" s="19">
        <v>112035</v>
      </c>
      <c r="G577" s="16">
        <f t="shared" si="24"/>
        <v>5.23625604405</v>
      </c>
      <c r="H577" s="20">
        <v>3.59977222255634</v>
      </c>
      <c r="I577" s="16">
        <f t="shared" si="25"/>
        <v>8.83602826660634</v>
      </c>
    </row>
    <row r="578" ht="15.75" spans="1:9">
      <c r="A578" s="83"/>
      <c r="B578" s="71"/>
      <c r="C578" s="9"/>
      <c r="D578" s="13" t="s">
        <v>169</v>
      </c>
      <c r="E578" s="14">
        <v>181347</v>
      </c>
      <c r="F578" s="19">
        <v>115921</v>
      </c>
      <c r="G578" s="16">
        <f t="shared" si="24"/>
        <v>4.31503398945</v>
      </c>
      <c r="H578" s="20">
        <v>3.93503044259674</v>
      </c>
      <c r="I578" s="16">
        <f t="shared" si="25"/>
        <v>8.25006443204674</v>
      </c>
    </row>
    <row r="579" ht="15.75" spans="1:9">
      <c r="A579" s="83"/>
      <c r="B579" s="71"/>
      <c r="C579" s="9"/>
      <c r="D579" s="13" t="s">
        <v>170</v>
      </c>
      <c r="E579" s="14">
        <v>89980</v>
      </c>
      <c r="F579" s="19">
        <v>1922180</v>
      </c>
      <c r="G579" s="16">
        <f t="shared" si="24"/>
        <v>2.141015613</v>
      </c>
      <c r="H579" s="20">
        <v>2.56100044357143</v>
      </c>
      <c r="I579" s="16">
        <f t="shared" si="25"/>
        <v>4.70201605657143</v>
      </c>
    </row>
    <row r="580" ht="15.75" spans="1:9">
      <c r="A580" s="83"/>
      <c r="B580" s="71"/>
      <c r="C580" s="9"/>
      <c r="D580" s="13" t="s">
        <v>167</v>
      </c>
      <c r="E580" s="14">
        <v>183186</v>
      </c>
      <c r="F580" s="19">
        <v>232442</v>
      </c>
      <c r="G580" s="16">
        <f t="shared" si="24"/>
        <v>4.3587917991</v>
      </c>
      <c r="H580" s="20">
        <v>3.73754417180382</v>
      </c>
      <c r="I580" s="16">
        <f t="shared" si="25"/>
        <v>8.09633597090382</v>
      </c>
    </row>
    <row r="581" ht="15.75" spans="1:9">
      <c r="A581" s="83"/>
      <c r="B581" s="71"/>
      <c r="C581" s="9"/>
      <c r="D581" s="13" t="s">
        <v>166</v>
      </c>
      <c r="E581" s="14">
        <v>210754</v>
      </c>
      <c r="F581" s="19">
        <v>150125</v>
      </c>
      <c r="G581" s="16">
        <f t="shared" si="24"/>
        <v>5.0147544399</v>
      </c>
      <c r="H581" s="20">
        <v>4.96681363507677</v>
      </c>
      <c r="I581" s="16">
        <f t="shared" si="25"/>
        <v>9.98156807497677</v>
      </c>
    </row>
    <row r="582" ht="15.75" spans="1:9">
      <c r="A582" s="83"/>
      <c r="B582" s="71"/>
      <c r="C582" s="9"/>
      <c r="D582" s="13" t="s">
        <v>168</v>
      </c>
      <c r="E582" s="14">
        <v>88</v>
      </c>
      <c r="F582" s="19">
        <v>55</v>
      </c>
      <c r="G582" s="16">
        <f t="shared" si="24"/>
        <v>0.0020939028</v>
      </c>
      <c r="H582" s="20">
        <v>0.000899820526757143</v>
      </c>
      <c r="I582" s="16">
        <f t="shared" si="25"/>
        <v>0.00299372332675714</v>
      </c>
    </row>
    <row r="583" ht="15.75" spans="1:9">
      <c r="A583" s="83"/>
      <c r="B583" s="71"/>
      <c r="C583" s="9"/>
      <c r="D583" s="13" t="s">
        <v>172</v>
      </c>
      <c r="E583" s="14">
        <v>90751</v>
      </c>
      <c r="F583" s="19">
        <v>79520</v>
      </c>
      <c r="G583" s="16">
        <f t="shared" si="24"/>
        <v>2.15936105685</v>
      </c>
      <c r="H583" s="20">
        <v>1.11905237535353</v>
      </c>
      <c r="I583" s="16">
        <f t="shared" si="25"/>
        <v>3.27841343220353</v>
      </c>
    </row>
    <row r="584" ht="15.75" spans="1:9">
      <c r="A584" s="84"/>
      <c r="B584" s="71"/>
      <c r="C584" s="9"/>
      <c r="D584" s="13" t="s">
        <v>162</v>
      </c>
      <c r="E584" s="14">
        <v>165333</v>
      </c>
      <c r="F584" s="19">
        <v>367282</v>
      </c>
      <c r="G584" s="16">
        <f t="shared" si="24"/>
        <v>3.93399126855</v>
      </c>
      <c r="H584" s="20">
        <v>4.63343739803572</v>
      </c>
      <c r="I584" s="16">
        <f t="shared" si="25"/>
        <v>8.56742866658572</v>
      </c>
    </row>
    <row r="585" ht="15.75" spans="1:9">
      <c r="A585" s="70">
        <v>2</v>
      </c>
      <c r="B585" s="71">
        <v>2050</v>
      </c>
      <c r="C585" s="10" t="s">
        <v>78</v>
      </c>
      <c r="D585" s="13" t="s">
        <v>78</v>
      </c>
      <c r="E585" s="14">
        <v>46436</v>
      </c>
      <c r="F585" s="19">
        <v>24991</v>
      </c>
      <c r="G585" s="16">
        <f t="shared" si="24"/>
        <v>1.1049144366</v>
      </c>
      <c r="H585" s="20">
        <v>0.930064738571428</v>
      </c>
      <c r="I585" s="16">
        <f t="shared" si="25"/>
        <v>2.03497917517143</v>
      </c>
    </row>
    <row r="586" ht="15.75" spans="1:9">
      <c r="A586" s="83"/>
      <c r="B586" s="71"/>
      <c r="C586" s="10"/>
      <c r="D586" s="13" t="s">
        <v>180</v>
      </c>
      <c r="E586" s="14">
        <v>82206</v>
      </c>
      <c r="F586" s="19">
        <v>196931</v>
      </c>
      <c r="G586" s="16">
        <f t="shared" si="24"/>
        <v>1.9560383361</v>
      </c>
      <c r="H586" s="20">
        <v>3.16775232802742</v>
      </c>
      <c r="I586" s="16">
        <f t="shared" si="25"/>
        <v>5.12379066412742</v>
      </c>
    </row>
    <row r="587" ht="15.75" spans="1:9">
      <c r="A587" s="83"/>
      <c r="B587" s="71"/>
      <c r="C587" s="10"/>
      <c r="D587" s="13" t="s">
        <v>179</v>
      </c>
      <c r="E587" s="14">
        <v>105468</v>
      </c>
      <c r="F587" s="19">
        <v>2124333</v>
      </c>
      <c r="G587" s="16">
        <f t="shared" si="24"/>
        <v>2.5095425058</v>
      </c>
      <c r="H587" s="20">
        <v>1.77620991763955</v>
      </c>
      <c r="I587" s="16">
        <f t="shared" si="25"/>
        <v>4.28575242343955</v>
      </c>
    </row>
    <row r="588" ht="15.75" spans="1:9">
      <c r="A588" s="83"/>
      <c r="B588" s="71"/>
      <c r="C588" s="10"/>
      <c r="D588" s="13" t="s">
        <v>178</v>
      </c>
      <c r="E588" s="14">
        <v>78257</v>
      </c>
      <c r="F588" s="19">
        <v>107373</v>
      </c>
      <c r="G588" s="16">
        <f t="shared" si="24"/>
        <v>1.86207444795</v>
      </c>
      <c r="H588" s="20">
        <v>3.12451620035714</v>
      </c>
      <c r="I588" s="16">
        <f t="shared" si="25"/>
        <v>4.98659064830714</v>
      </c>
    </row>
    <row r="589" ht="15.75" spans="1:9">
      <c r="A589" s="83"/>
      <c r="B589" s="71"/>
      <c r="C589" s="10"/>
      <c r="D589" s="13" t="s">
        <v>66</v>
      </c>
      <c r="E589" s="14">
        <v>56601</v>
      </c>
      <c r="F589" s="19">
        <v>218923</v>
      </c>
      <c r="G589" s="16">
        <f t="shared" si="24"/>
        <v>1.34678400435</v>
      </c>
      <c r="H589" s="20">
        <v>1.23945336783687</v>
      </c>
      <c r="I589" s="16">
        <f t="shared" si="25"/>
        <v>2.58623737218687</v>
      </c>
    </row>
    <row r="590" ht="15.75" spans="1:9">
      <c r="A590" s="83"/>
      <c r="B590" s="71"/>
      <c r="C590" s="10" t="s">
        <v>33</v>
      </c>
      <c r="D590" s="13" t="s">
        <v>33</v>
      </c>
      <c r="E590" s="14">
        <v>267646</v>
      </c>
      <c r="F590" s="19">
        <v>78935</v>
      </c>
      <c r="G590" s="16">
        <f t="shared" si="24"/>
        <v>6.3684626001</v>
      </c>
      <c r="H590" s="20">
        <v>3.16915708934691</v>
      </c>
      <c r="I590" s="16">
        <f t="shared" si="25"/>
        <v>9.53761968944691</v>
      </c>
    </row>
    <row r="591" ht="15.75" spans="1:9">
      <c r="A591" s="83"/>
      <c r="B591" s="71"/>
      <c r="C591" s="10"/>
      <c r="D591" s="13" t="s">
        <v>161</v>
      </c>
      <c r="E591" s="14">
        <v>267349</v>
      </c>
      <c r="F591" s="19">
        <v>182609</v>
      </c>
      <c r="G591" s="16">
        <f t="shared" si="24"/>
        <v>6.36139567815</v>
      </c>
      <c r="H591" s="20">
        <v>4.68522881232143</v>
      </c>
      <c r="I591" s="16">
        <f t="shared" si="25"/>
        <v>11.0466244904714</v>
      </c>
    </row>
    <row r="592" ht="15.75" spans="1:9">
      <c r="A592" s="83"/>
      <c r="B592" s="71"/>
      <c r="C592" s="10"/>
      <c r="D592" s="13" t="s">
        <v>32</v>
      </c>
      <c r="E592" s="14">
        <v>162994</v>
      </c>
      <c r="F592" s="19">
        <v>43417</v>
      </c>
      <c r="G592" s="16">
        <f t="shared" si="24"/>
        <v>3.8783362839</v>
      </c>
      <c r="H592" s="20">
        <v>0.64752408149925</v>
      </c>
      <c r="I592" s="16">
        <f t="shared" si="25"/>
        <v>4.52586036539925</v>
      </c>
    </row>
    <row r="593" ht="15.75" spans="1:9">
      <c r="A593" s="83"/>
      <c r="B593" s="71"/>
      <c r="C593" s="10"/>
      <c r="D593" s="13" t="s">
        <v>160</v>
      </c>
      <c r="E593" s="14">
        <v>357542</v>
      </c>
      <c r="F593" s="19">
        <v>2551771</v>
      </c>
      <c r="G593" s="16">
        <f t="shared" si="24"/>
        <v>8.5074794877</v>
      </c>
      <c r="H593" s="20">
        <v>2.84470099535714</v>
      </c>
      <c r="I593" s="16">
        <f t="shared" si="25"/>
        <v>11.3521804830571</v>
      </c>
    </row>
    <row r="594" ht="15.75" spans="1:9">
      <c r="A594" s="83"/>
      <c r="B594" s="71"/>
      <c r="C594" s="9" t="s">
        <v>174</v>
      </c>
      <c r="D594" s="13" t="s">
        <v>174</v>
      </c>
      <c r="E594" s="14">
        <v>407413</v>
      </c>
      <c r="F594" s="19">
        <v>453572</v>
      </c>
      <c r="G594" s="16">
        <f t="shared" si="24"/>
        <v>9.69412751655</v>
      </c>
      <c r="H594" s="20">
        <v>11.4097539739286</v>
      </c>
      <c r="I594" s="16">
        <f t="shared" si="25"/>
        <v>21.1038814904786</v>
      </c>
    </row>
    <row r="595" ht="15.75" spans="1:9">
      <c r="A595" s="83"/>
      <c r="B595" s="71"/>
      <c r="C595" s="9"/>
      <c r="D595" s="13" t="s">
        <v>176</v>
      </c>
      <c r="E595" s="14">
        <v>431576</v>
      </c>
      <c r="F595" s="19">
        <v>200947</v>
      </c>
      <c r="G595" s="16">
        <f t="shared" si="24"/>
        <v>10.2690703956</v>
      </c>
      <c r="H595" s="20">
        <v>6.62761837857143</v>
      </c>
      <c r="I595" s="16">
        <f t="shared" si="25"/>
        <v>16.8966887741714</v>
      </c>
    </row>
    <row r="596" ht="15.75" spans="1:9">
      <c r="A596" s="83"/>
      <c r="B596" s="71"/>
      <c r="C596" s="9"/>
      <c r="D596" s="13" t="s">
        <v>177</v>
      </c>
      <c r="E596" s="14">
        <v>347853</v>
      </c>
      <c r="F596" s="19">
        <v>166385</v>
      </c>
      <c r="G596" s="16">
        <f t="shared" si="24"/>
        <v>8.27693603055</v>
      </c>
      <c r="H596" s="20">
        <v>4.60379793803571</v>
      </c>
      <c r="I596" s="16">
        <f t="shared" si="25"/>
        <v>12.8807339685857</v>
      </c>
    </row>
    <row r="597" ht="15.75" spans="1:9">
      <c r="A597" s="83"/>
      <c r="B597" s="71"/>
      <c r="C597" s="10" t="s">
        <v>48</v>
      </c>
      <c r="D597" s="13" t="s">
        <v>175</v>
      </c>
      <c r="E597" s="14">
        <v>413942</v>
      </c>
      <c r="F597" s="19">
        <v>227689</v>
      </c>
      <c r="G597" s="16">
        <f t="shared" ref="G597:G636" si="26">E597*(65.19*365)/POWER(10,9)</f>
        <v>9.8494808277</v>
      </c>
      <c r="H597" s="20">
        <v>7.09196303571429</v>
      </c>
      <c r="I597" s="16">
        <f t="shared" ref="I597:I636" si="27">G597+H597</f>
        <v>16.9414438634143</v>
      </c>
    </row>
    <row r="598" ht="15.75" spans="1:9">
      <c r="A598" s="83"/>
      <c r="B598" s="71"/>
      <c r="C598" s="10"/>
      <c r="D598" s="13" t="s">
        <v>150</v>
      </c>
      <c r="E598" s="14">
        <v>481417</v>
      </c>
      <c r="F598" s="19">
        <v>66512</v>
      </c>
      <c r="G598" s="16">
        <f t="shared" si="26"/>
        <v>11.45500459395</v>
      </c>
      <c r="H598" s="20">
        <v>2.63994697142857</v>
      </c>
      <c r="I598" s="16">
        <f t="shared" si="27"/>
        <v>14.0949515653786</v>
      </c>
    </row>
    <row r="599" ht="15.75" spans="1:9">
      <c r="A599" s="83"/>
      <c r="B599" s="71"/>
      <c r="C599" s="10"/>
      <c r="D599" s="13" t="s">
        <v>149</v>
      </c>
      <c r="E599" s="14">
        <v>675018</v>
      </c>
      <c r="F599" s="19">
        <v>701187</v>
      </c>
      <c r="G599" s="16">
        <f t="shared" si="26"/>
        <v>16.0616145483</v>
      </c>
      <c r="H599" s="20">
        <v>12.53947836625</v>
      </c>
      <c r="I599" s="16">
        <f t="shared" si="27"/>
        <v>28.60109291455</v>
      </c>
    </row>
    <row r="600" ht="15.75" spans="1:9">
      <c r="A600" s="83"/>
      <c r="B600" s="71"/>
      <c r="C600" s="10"/>
      <c r="D600" s="13" t="s">
        <v>147</v>
      </c>
      <c r="E600" s="14">
        <v>497380</v>
      </c>
      <c r="F600" s="19">
        <v>249615</v>
      </c>
      <c r="G600" s="16">
        <f t="shared" si="26"/>
        <v>11.834833803</v>
      </c>
      <c r="H600" s="20">
        <v>4.71347057</v>
      </c>
      <c r="I600" s="16">
        <f t="shared" si="27"/>
        <v>16.548304373</v>
      </c>
    </row>
    <row r="601" ht="15.75" spans="1:9">
      <c r="A601" s="83"/>
      <c r="B601" s="71"/>
      <c r="C601" s="10" t="s">
        <v>37</v>
      </c>
      <c r="D601" s="13" t="s">
        <v>148</v>
      </c>
      <c r="E601" s="14">
        <v>423818</v>
      </c>
      <c r="F601" s="19">
        <v>2195147</v>
      </c>
      <c r="G601" s="16">
        <f t="shared" si="26"/>
        <v>10.0844738283</v>
      </c>
      <c r="H601" s="20">
        <v>6.48843365857143</v>
      </c>
      <c r="I601" s="16">
        <f t="shared" si="27"/>
        <v>16.5729074868714</v>
      </c>
    </row>
    <row r="602" ht="15.75" spans="1:9">
      <c r="A602" s="83"/>
      <c r="B602" s="71"/>
      <c r="C602" s="10"/>
      <c r="D602" s="13" t="s">
        <v>37</v>
      </c>
      <c r="E602" s="14">
        <v>45494</v>
      </c>
      <c r="F602" s="19">
        <v>50800</v>
      </c>
      <c r="G602" s="16">
        <f t="shared" si="26"/>
        <v>1.0825001589</v>
      </c>
      <c r="H602" s="20">
        <v>0.365448054388029</v>
      </c>
      <c r="I602" s="16">
        <f t="shared" si="27"/>
        <v>1.44794821328803</v>
      </c>
    </row>
    <row r="603" ht="15.75" spans="1:9">
      <c r="A603" s="83"/>
      <c r="B603" s="71"/>
      <c r="C603" s="10" t="s">
        <v>65</v>
      </c>
      <c r="D603" s="13" t="s">
        <v>39</v>
      </c>
      <c r="E603" s="14">
        <v>51027</v>
      </c>
      <c r="F603" s="19">
        <v>24151</v>
      </c>
      <c r="G603" s="16">
        <f t="shared" si="26"/>
        <v>1.21415429745</v>
      </c>
      <c r="H603" s="20">
        <v>0.323266781462486</v>
      </c>
      <c r="I603" s="16">
        <f t="shared" si="27"/>
        <v>1.53742107891249</v>
      </c>
    </row>
    <row r="604" ht="15.75" spans="1:9">
      <c r="A604" s="83"/>
      <c r="B604" s="71"/>
      <c r="C604" s="10"/>
      <c r="D604" s="13" t="s">
        <v>181</v>
      </c>
      <c r="E604" s="14">
        <v>527483</v>
      </c>
      <c r="F604" s="19">
        <v>114444</v>
      </c>
      <c r="G604" s="16">
        <f t="shared" si="26"/>
        <v>12.55111512105</v>
      </c>
      <c r="H604" s="20">
        <v>2.10956724428571</v>
      </c>
      <c r="I604" s="16">
        <f t="shared" si="27"/>
        <v>14.6606823653357</v>
      </c>
    </row>
    <row r="605" ht="15.75" spans="1:9">
      <c r="A605" s="83"/>
      <c r="B605" s="71"/>
      <c r="C605" s="10"/>
      <c r="D605" s="13" t="s">
        <v>65</v>
      </c>
      <c r="E605" s="14">
        <v>386060</v>
      </c>
      <c r="F605" s="19">
        <v>3315</v>
      </c>
      <c r="G605" s="16">
        <f t="shared" si="26"/>
        <v>9.186046761</v>
      </c>
      <c r="H605" s="20">
        <v>0.116689978571429</v>
      </c>
      <c r="I605" s="16">
        <f t="shared" si="27"/>
        <v>9.30273673957143</v>
      </c>
    </row>
    <row r="606" ht="15.75" spans="1:9">
      <c r="A606" s="83"/>
      <c r="B606" s="71"/>
      <c r="C606" s="10"/>
      <c r="D606" s="13" t="s">
        <v>182</v>
      </c>
      <c r="E606" s="14">
        <v>450706</v>
      </c>
      <c r="F606" s="19">
        <v>1057176</v>
      </c>
      <c r="G606" s="16">
        <f t="shared" si="26"/>
        <v>10.7242563111</v>
      </c>
      <c r="H606" s="20">
        <v>4.43257753303572</v>
      </c>
      <c r="I606" s="16">
        <f t="shared" si="27"/>
        <v>15.1568338441357</v>
      </c>
    </row>
    <row r="607" ht="15.75" spans="1:9">
      <c r="A607" s="83"/>
      <c r="B607" s="71"/>
      <c r="C607" s="11" t="s">
        <v>185</v>
      </c>
      <c r="D607" s="13" t="s">
        <v>151</v>
      </c>
      <c r="E607" s="14">
        <v>331392</v>
      </c>
      <c r="F607" s="19">
        <v>133914</v>
      </c>
      <c r="G607" s="16">
        <f t="shared" si="26"/>
        <v>7.8852572352</v>
      </c>
      <c r="H607" s="20">
        <v>4.09420169873143</v>
      </c>
      <c r="I607" s="16">
        <f t="shared" si="27"/>
        <v>11.9794589339314</v>
      </c>
    </row>
    <row r="608" ht="15.75" spans="1:9">
      <c r="A608" s="83"/>
      <c r="B608" s="71"/>
      <c r="C608" s="23"/>
      <c r="D608" s="13" t="s">
        <v>152</v>
      </c>
      <c r="E608" s="14">
        <v>25781</v>
      </c>
      <c r="F608" s="19">
        <v>52653</v>
      </c>
      <c r="G608" s="16">
        <f t="shared" si="26"/>
        <v>0.61344213735</v>
      </c>
      <c r="H608" s="20">
        <v>0.294835651429777</v>
      </c>
      <c r="I608" s="16">
        <f t="shared" si="27"/>
        <v>0.908277788779777</v>
      </c>
    </row>
    <row r="609" ht="15.75" spans="1:9">
      <c r="A609" s="83"/>
      <c r="B609" s="71"/>
      <c r="C609" s="10" t="s">
        <v>95</v>
      </c>
      <c r="D609" s="13" t="s">
        <v>57</v>
      </c>
      <c r="E609" s="14">
        <v>147144</v>
      </c>
      <c r="F609" s="19">
        <v>37371</v>
      </c>
      <c r="G609" s="16">
        <f t="shared" si="26"/>
        <v>3.5011958364</v>
      </c>
      <c r="H609" s="20">
        <v>1.22273669422326</v>
      </c>
      <c r="I609" s="16">
        <f t="shared" si="27"/>
        <v>4.72393253062326</v>
      </c>
    </row>
    <row r="610" ht="15.75" spans="1:9">
      <c r="A610" s="83"/>
      <c r="B610" s="71"/>
      <c r="C610" s="10"/>
      <c r="D610" s="13" t="s">
        <v>77</v>
      </c>
      <c r="E610" s="14">
        <v>53260</v>
      </c>
      <c r="F610" s="19">
        <v>35442</v>
      </c>
      <c r="G610" s="16">
        <f t="shared" si="26"/>
        <v>1.267287081</v>
      </c>
      <c r="H610" s="20">
        <v>0.26070175091505</v>
      </c>
      <c r="I610" s="16">
        <f t="shared" si="27"/>
        <v>1.52798883191505</v>
      </c>
    </row>
    <row r="611" ht="15.75" spans="1:9">
      <c r="A611" s="83"/>
      <c r="B611" s="71"/>
      <c r="C611" s="10"/>
      <c r="D611" s="13" t="s">
        <v>52</v>
      </c>
      <c r="E611" s="14">
        <v>121364</v>
      </c>
      <c r="F611" s="19">
        <v>33358</v>
      </c>
      <c r="G611" s="16">
        <f t="shared" si="26"/>
        <v>2.8877774934</v>
      </c>
      <c r="H611" s="20">
        <v>0.286428843966954</v>
      </c>
      <c r="I611" s="16">
        <f t="shared" si="27"/>
        <v>3.17420633736695</v>
      </c>
    </row>
    <row r="612" ht="15.75" spans="1:9">
      <c r="A612" s="83"/>
      <c r="B612" s="71"/>
      <c r="C612" s="9" t="s">
        <v>184</v>
      </c>
      <c r="D612" s="13" t="s">
        <v>164</v>
      </c>
      <c r="E612" s="14">
        <v>403820</v>
      </c>
      <c r="F612" s="19">
        <v>148670</v>
      </c>
      <c r="G612" s="16">
        <f t="shared" si="26"/>
        <v>9.608634417</v>
      </c>
      <c r="H612" s="20">
        <v>4.56644440401971</v>
      </c>
      <c r="I612" s="16">
        <f t="shared" si="27"/>
        <v>14.1750788210197</v>
      </c>
    </row>
    <row r="613" ht="15.75" spans="1:9">
      <c r="A613" s="83"/>
      <c r="B613" s="71"/>
      <c r="C613" s="9"/>
      <c r="D613" s="13" t="s">
        <v>163</v>
      </c>
      <c r="E613" s="14">
        <v>169471</v>
      </c>
      <c r="F613" s="19">
        <v>113621</v>
      </c>
      <c r="G613" s="16">
        <f t="shared" si="26"/>
        <v>4.03245228885</v>
      </c>
      <c r="H613" s="20">
        <v>4.561</v>
      </c>
      <c r="I613" s="16">
        <f t="shared" si="27"/>
        <v>8.59345228885</v>
      </c>
    </row>
    <row r="614" ht="15.75" spans="1:9">
      <c r="A614" s="83"/>
      <c r="B614" s="71"/>
      <c r="C614" s="9"/>
      <c r="D614" s="13" t="s">
        <v>158</v>
      </c>
      <c r="E614" s="14">
        <v>359206</v>
      </c>
      <c r="F614" s="19">
        <v>125620</v>
      </c>
      <c r="G614" s="16">
        <f t="shared" si="26"/>
        <v>8.5470732861</v>
      </c>
      <c r="H614" s="20">
        <v>2.86141820145596</v>
      </c>
      <c r="I614" s="16">
        <f t="shared" si="27"/>
        <v>11.408491487556</v>
      </c>
    </row>
    <row r="615" ht="15.75" spans="1:9">
      <c r="A615" s="83"/>
      <c r="B615" s="71"/>
      <c r="C615" s="9"/>
      <c r="D615" s="13" t="s">
        <v>165</v>
      </c>
      <c r="E615" s="14">
        <v>209888</v>
      </c>
      <c r="F615" s="19">
        <v>569256</v>
      </c>
      <c r="G615" s="16">
        <f t="shared" si="26"/>
        <v>4.9941485328</v>
      </c>
      <c r="H615" s="20">
        <v>3.50320797607143</v>
      </c>
      <c r="I615" s="16">
        <f t="shared" si="27"/>
        <v>8.49735650887143</v>
      </c>
    </row>
    <row r="616" ht="15.75" spans="1:9">
      <c r="A616" s="83"/>
      <c r="B616" s="71"/>
      <c r="C616" s="10" t="s">
        <v>71</v>
      </c>
      <c r="D616" s="151" t="s">
        <v>70</v>
      </c>
      <c r="E616" s="44">
        <v>4449</v>
      </c>
      <c r="F616" s="19">
        <v>29630</v>
      </c>
      <c r="G616" s="16">
        <f t="shared" si="26"/>
        <v>0.10586106315</v>
      </c>
      <c r="H616" s="20">
        <v>0.146986301356848</v>
      </c>
      <c r="I616" s="16">
        <f t="shared" si="27"/>
        <v>0.252847364506848</v>
      </c>
    </row>
    <row r="617" ht="15.75" spans="1:9">
      <c r="A617" s="83"/>
      <c r="B617" s="71"/>
      <c r="C617" s="10"/>
      <c r="D617" s="151" t="s">
        <v>73</v>
      </c>
      <c r="E617" s="44">
        <v>2040</v>
      </c>
      <c r="F617" s="19">
        <v>8960</v>
      </c>
      <c r="G617" s="16">
        <f t="shared" si="26"/>
        <v>0.048540474</v>
      </c>
      <c r="H617" s="20">
        <v>0.06595978101565</v>
      </c>
      <c r="I617" s="16">
        <f t="shared" si="27"/>
        <v>0.11450025501565</v>
      </c>
    </row>
    <row r="618" ht="15.75" spans="1:9">
      <c r="A618" s="83"/>
      <c r="B618" s="71"/>
      <c r="C618" s="10"/>
      <c r="D618" s="151" t="s">
        <v>183</v>
      </c>
      <c r="E618" s="44">
        <v>189</v>
      </c>
      <c r="F618" s="19">
        <v>319</v>
      </c>
      <c r="G618" s="16">
        <f t="shared" si="26"/>
        <v>0.00449713215</v>
      </c>
      <c r="H618" s="20">
        <v>0.0017631602254</v>
      </c>
      <c r="I618" s="16">
        <f t="shared" si="27"/>
        <v>0.0062602923754</v>
      </c>
    </row>
    <row r="619" ht="15.75" spans="1:9">
      <c r="A619" s="83"/>
      <c r="B619" s="71"/>
      <c r="C619" s="10" t="s">
        <v>58</v>
      </c>
      <c r="D619" s="13" t="s">
        <v>156</v>
      </c>
      <c r="E619" s="14">
        <v>1332</v>
      </c>
      <c r="F619" s="19">
        <v>803</v>
      </c>
      <c r="G619" s="16">
        <f t="shared" si="26"/>
        <v>0.0316940742</v>
      </c>
      <c r="H619" s="20">
        <v>0.027702240312</v>
      </c>
      <c r="I619" s="16">
        <f t="shared" si="27"/>
        <v>0.059396314512</v>
      </c>
    </row>
    <row r="620" ht="15.75" spans="1:9">
      <c r="A620" s="83"/>
      <c r="B620" s="71"/>
      <c r="C620" s="10"/>
      <c r="D620" s="13" t="s">
        <v>157</v>
      </c>
      <c r="E620" s="14">
        <v>121708</v>
      </c>
      <c r="F620" s="19">
        <v>161323</v>
      </c>
      <c r="G620" s="16">
        <f t="shared" si="26"/>
        <v>2.8959627498</v>
      </c>
      <c r="H620" s="20">
        <v>3.18988386500832</v>
      </c>
      <c r="I620" s="16">
        <f t="shared" si="27"/>
        <v>6.08584661480832</v>
      </c>
    </row>
    <row r="621" ht="15.75" spans="1:9">
      <c r="A621" s="83"/>
      <c r="B621" s="71"/>
      <c r="C621" s="10" t="s">
        <v>153</v>
      </c>
      <c r="D621" s="13" t="s">
        <v>155</v>
      </c>
      <c r="E621" s="14">
        <v>1171582</v>
      </c>
      <c r="F621" s="19">
        <v>100528</v>
      </c>
      <c r="G621" s="16">
        <f t="shared" si="26"/>
        <v>27.8770321617</v>
      </c>
      <c r="H621" s="20">
        <v>3.26503846361321</v>
      </c>
      <c r="I621" s="16">
        <f t="shared" si="27"/>
        <v>31.1420706253132</v>
      </c>
    </row>
    <row r="622" ht="15.75" spans="1:9">
      <c r="A622" s="83"/>
      <c r="B622" s="71"/>
      <c r="C622" s="10"/>
      <c r="D622" s="13" t="s">
        <v>153</v>
      </c>
      <c r="E622" s="14">
        <v>441373</v>
      </c>
      <c r="F622" s="19">
        <v>238642</v>
      </c>
      <c r="G622" s="16">
        <f t="shared" si="26"/>
        <v>10.50218364255</v>
      </c>
      <c r="H622" s="20">
        <v>5.72450183767857</v>
      </c>
      <c r="I622" s="16">
        <f t="shared" si="27"/>
        <v>16.2266854802286</v>
      </c>
    </row>
    <row r="623" ht="15.75" spans="1:9">
      <c r="A623" s="83"/>
      <c r="B623" s="71"/>
      <c r="C623" s="10"/>
      <c r="D623" s="13" t="s">
        <v>154</v>
      </c>
      <c r="E623" s="14">
        <v>372709</v>
      </c>
      <c r="F623" s="19">
        <v>137429</v>
      </c>
      <c r="G623" s="16">
        <f t="shared" si="26"/>
        <v>8.86836839415</v>
      </c>
      <c r="H623" s="20">
        <v>4.88254712142857</v>
      </c>
      <c r="I623" s="16">
        <f t="shared" si="27"/>
        <v>13.7509155155786</v>
      </c>
    </row>
    <row r="624" ht="15.75" spans="1:9">
      <c r="A624" s="83"/>
      <c r="B624" s="71"/>
      <c r="C624" s="10" t="s">
        <v>27</v>
      </c>
      <c r="D624" s="13" t="s">
        <v>31</v>
      </c>
      <c r="E624" s="14">
        <v>108138</v>
      </c>
      <c r="F624" s="19">
        <v>104006</v>
      </c>
      <c r="G624" s="16">
        <f t="shared" si="26"/>
        <v>2.5730734203</v>
      </c>
      <c r="H624" s="20">
        <v>0.471867609383714</v>
      </c>
      <c r="I624" s="16">
        <f t="shared" si="27"/>
        <v>3.04494102968371</v>
      </c>
    </row>
    <row r="625" ht="15.75" spans="1:9">
      <c r="A625" s="83"/>
      <c r="B625" s="71"/>
      <c r="C625" s="10"/>
      <c r="D625" s="13" t="s">
        <v>30</v>
      </c>
      <c r="E625" s="14">
        <v>109757</v>
      </c>
      <c r="F625" s="19">
        <v>132822</v>
      </c>
      <c r="G625" s="16">
        <f t="shared" si="26"/>
        <v>2.61159647295</v>
      </c>
      <c r="H625" s="20">
        <v>1.02782340383521</v>
      </c>
      <c r="I625" s="16">
        <f t="shared" si="27"/>
        <v>3.63941987678521</v>
      </c>
    </row>
    <row r="626" ht="15.75" spans="1:9">
      <c r="A626" s="83"/>
      <c r="B626" s="71"/>
      <c r="C626" s="10"/>
      <c r="D626" s="13" t="s">
        <v>159</v>
      </c>
      <c r="E626" s="14">
        <v>209309</v>
      </c>
      <c r="F626" s="19">
        <v>3244781</v>
      </c>
      <c r="G626" s="16">
        <f t="shared" si="26"/>
        <v>4.98037160415</v>
      </c>
      <c r="H626" s="20">
        <v>1.16818375142857</v>
      </c>
      <c r="I626" s="16">
        <f t="shared" si="27"/>
        <v>6.14855535557857</v>
      </c>
    </row>
    <row r="627" ht="15.75" spans="1:9">
      <c r="A627" s="83"/>
      <c r="B627" s="71"/>
      <c r="C627" s="10"/>
      <c r="D627" s="13" t="s">
        <v>28</v>
      </c>
      <c r="E627" s="14">
        <v>215728</v>
      </c>
      <c r="F627" s="19">
        <v>47727</v>
      </c>
      <c r="G627" s="16">
        <f t="shared" si="26"/>
        <v>5.1331075368</v>
      </c>
      <c r="H627" s="20">
        <v>1.0258416593976</v>
      </c>
      <c r="I627" s="16">
        <f t="shared" si="27"/>
        <v>6.1589491961976</v>
      </c>
    </row>
    <row r="628" ht="15.75" spans="1:9">
      <c r="A628" s="83"/>
      <c r="B628" s="71"/>
      <c r="C628" s="9" t="s">
        <v>162</v>
      </c>
      <c r="D628" s="13" t="s">
        <v>171</v>
      </c>
      <c r="E628" s="14">
        <v>179568</v>
      </c>
      <c r="F628" s="19">
        <v>272471</v>
      </c>
      <c r="G628" s="16">
        <f t="shared" si="26"/>
        <v>4.2727038408</v>
      </c>
      <c r="H628" s="20">
        <v>1.94286753375</v>
      </c>
      <c r="I628" s="16">
        <f t="shared" si="27"/>
        <v>6.21557137455</v>
      </c>
    </row>
    <row r="629" ht="15.75" spans="1:9">
      <c r="A629" s="83"/>
      <c r="B629" s="71"/>
      <c r="C629" s="9"/>
      <c r="D629" s="13" t="s">
        <v>173</v>
      </c>
      <c r="E629" s="14">
        <v>327683</v>
      </c>
      <c r="F629" s="19">
        <v>152292</v>
      </c>
      <c r="G629" s="16">
        <f t="shared" si="26"/>
        <v>7.79700399105</v>
      </c>
      <c r="H629" s="20">
        <v>4.80450526065057</v>
      </c>
      <c r="I629" s="16">
        <f t="shared" si="27"/>
        <v>12.6015092517006</v>
      </c>
    </row>
    <row r="630" ht="15.75" spans="1:9">
      <c r="A630" s="83"/>
      <c r="B630" s="71"/>
      <c r="C630" s="9"/>
      <c r="D630" s="13" t="s">
        <v>169</v>
      </c>
      <c r="E630" s="14">
        <v>270033</v>
      </c>
      <c r="F630" s="19">
        <v>144262</v>
      </c>
      <c r="G630" s="16">
        <f t="shared" si="26"/>
        <v>6.42525971355</v>
      </c>
      <c r="H630" s="20">
        <v>4.56182172948317</v>
      </c>
      <c r="I630" s="16">
        <f t="shared" si="27"/>
        <v>10.9870814430332</v>
      </c>
    </row>
    <row r="631" ht="15.75" spans="1:9">
      <c r="A631" s="83"/>
      <c r="B631" s="71"/>
      <c r="C631" s="9"/>
      <c r="D631" s="13" t="s">
        <v>170</v>
      </c>
      <c r="E631" s="14">
        <v>133983</v>
      </c>
      <c r="F631" s="19">
        <v>3892009</v>
      </c>
      <c r="G631" s="16">
        <f t="shared" si="26"/>
        <v>3.18803839605</v>
      </c>
      <c r="H631" s="20">
        <v>1.71879471160714</v>
      </c>
      <c r="I631" s="16">
        <f t="shared" si="27"/>
        <v>4.90683310765714</v>
      </c>
    </row>
    <row r="632" ht="15.75" spans="1:9">
      <c r="A632" s="83"/>
      <c r="B632" s="71"/>
      <c r="C632" s="9"/>
      <c r="D632" s="13" t="s">
        <v>167</v>
      </c>
      <c r="E632" s="14">
        <v>272771</v>
      </c>
      <c r="F632" s="19">
        <v>240300</v>
      </c>
      <c r="G632" s="16">
        <f t="shared" si="26"/>
        <v>6.49040864385</v>
      </c>
      <c r="H632" s="20">
        <v>4.89334178291087</v>
      </c>
      <c r="I632" s="16">
        <f t="shared" si="27"/>
        <v>11.3837504267609</v>
      </c>
    </row>
    <row r="633" ht="15.75" spans="1:9">
      <c r="A633" s="83"/>
      <c r="B633" s="71"/>
      <c r="C633" s="9"/>
      <c r="D633" s="13" t="s">
        <v>166</v>
      </c>
      <c r="E633" s="14">
        <v>313821</v>
      </c>
      <c r="F633" s="19">
        <v>200389</v>
      </c>
      <c r="G633" s="16">
        <f t="shared" si="26"/>
        <v>7.46716671135</v>
      </c>
      <c r="H633" s="20">
        <v>6.15859429601249</v>
      </c>
      <c r="I633" s="16">
        <f t="shared" si="27"/>
        <v>13.6257610073625</v>
      </c>
    </row>
    <row r="634" ht="15.75" spans="1:9">
      <c r="A634" s="83"/>
      <c r="B634" s="71"/>
      <c r="C634" s="9"/>
      <c r="D634" s="13" t="s">
        <v>168</v>
      </c>
      <c r="E634" s="14">
        <v>132</v>
      </c>
      <c r="F634" s="19">
        <v>65</v>
      </c>
      <c r="G634" s="16">
        <f t="shared" si="26"/>
        <v>0.0031408542</v>
      </c>
      <c r="H634" s="20">
        <v>0.00105364102718571</v>
      </c>
      <c r="I634" s="16">
        <f t="shared" si="27"/>
        <v>0.00419449522718571</v>
      </c>
    </row>
    <row r="635" ht="15.75" spans="1:9">
      <c r="A635" s="83"/>
      <c r="B635" s="71"/>
      <c r="C635" s="9"/>
      <c r="D635" s="13" t="s">
        <v>172</v>
      </c>
      <c r="E635" s="14">
        <v>135132</v>
      </c>
      <c r="F635" s="19">
        <v>129826</v>
      </c>
      <c r="G635" s="16">
        <f t="shared" si="26"/>
        <v>3.2153781042</v>
      </c>
      <c r="H635" s="20">
        <v>1.09460985092317</v>
      </c>
      <c r="I635" s="16">
        <f t="shared" si="27"/>
        <v>4.30998795512317</v>
      </c>
    </row>
    <row r="636" ht="15.75" spans="1:9">
      <c r="A636" s="84"/>
      <c r="B636" s="71"/>
      <c r="C636" s="9"/>
      <c r="D636" s="13" t="s">
        <v>162</v>
      </c>
      <c r="E636" s="14">
        <v>246188</v>
      </c>
      <c r="F636" s="19">
        <v>129018</v>
      </c>
      <c r="G636" s="16">
        <f t="shared" si="26"/>
        <v>5.8578834378</v>
      </c>
      <c r="H636" s="20">
        <v>4.26374682214286</v>
      </c>
      <c r="I636" s="16">
        <f t="shared" si="27"/>
        <v>10.1216302599429</v>
      </c>
    </row>
    <row r="638" ht="15.75" spans="1:9">
      <c r="A638" s="4" t="s">
        <v>105</v>
      </c>
      <c r="B638" s="4"/>
      <c r="C638" s="4"/>
      <c r="D638" s="4"/>
      <c r="E638" s="188"/>
      <c r="G638" s="189" t="s">
        <v>8</v>
      </c>
      <c r="H638" s="190"/>
      <c r="I638" s="191"/>
    </row>
    <row r="639" ht="47.25" spans="1:9">
      <c r="A639" s="35" t="s">
        <v>103</v>
      </c>
      <c r="B639" s="69" t="s">
        <v>104</v>
      </c>
      <c r="C639" s="61" t="s">
        <v>11</v>
      </c>
      <c r="D639" s="69" t="s">
        <v>106</v>
      </c>
      <c r="E639" s="69" t="s">
        <v>13</v>
      </c>
      <c r="F639" s="69" t="s">
        <v>84</v>
      </c>
      <c r="G639" s="69" t="s">
        <v>15</v>
      </c>
      <c r="H639" s="69" t="s">
        <v>16</v>
      </c>
      <c r="I639" s="69" t="s">
        <v>17</v>
      </c>
    </row>
    <row r="640" ht="15.75" spans="1:9">
      <c r="A640" s="9" t="s">
        <v>18</v>
      </c>
      <c r="B640" s="10" t="s">
        <v>19</v>
      </c>
      <c r="C640" s="13" t="s">
        <v>20</v>
      </c>
      <c r="D640" s="10" t="s">
        <v>21</v>
      </c>
      <c r="E640" s="10" t="s">
        <v>22</v>
      </c>
      <c r="F640" s="10" t="s">
        <v>23</v>
      </c>
      <c r="G640" s="10" t="s">
        <v>24</v>
      </c>
      <c r="H640" s="10" t="s">
        <v>25</v>
      </c>
      <c r="I640" s="10" t="s">
        <v>26</v>
      </c>
    </row>
    <row r="641" ht="15.75" spans="1:9">
      <c r="A641" s="70">
        <v>1</v>
      </c>
      <c r="B641" s="70">
        <v>2025</v>
      </c>
      <c r="C641" s="98" t="s">
        <v>78</v>
      </c>
      <c r="D641" s="13" t="s">
        <v>219</v>
      </c>
      <c r="E641" s="100">
        <v>5421</v>
      </c>
      <c r="F641" s="19">
        <v>1292</v>
      </c>
      <c r="G641" s="43">
        <f t="shared" ref="G641:G704" si="28">E641*162*365/POWER(10,9)</f>
        <v>0.32054373</v>
      </c>
      <c r="H641" s="20">
        <v>0.0474522942857143</v>
      </c>
      <c r="I641" s="20">
        <f t="shared" ref="I641:I674" si="29">G641+H641</f>
        <v>0.367996024285714</v>
      </c>
    </row>
    <row r="642" ht="15.75" spans="1:9">
      <c r="A642" s="83"/>
      <c r="B642" s="83"/>
      <c r="C642" s="101"/>
      <c r="D642" s="13" t="s">
        <v>215</v>
      </c>
      <c r="E642" s="100">
        <v>27357</v>
      </c>
      <c r="F642" s="19">
        <v>1289</v>
      </c>
      <c r="G642" s="43">
        <f t="shared" si="28"/>
        <v>1.61761941</v>
      </c>
      <c r="H642" s="20">
        <v>0.0517</v>
      </c>
      <c r="I642" s="20">
        <f t="shared" si="29"/>
        <v>1.66931941</v>
      </c>
    </row>
    <row r="643" ht="15.75" spans="1:9">
      <c r="A643" s="83"/>
      <c r="B643" s="83"/>
      <c r="C643" s="101"/>
      <c r="D643" s="13" t="s">
        <v>203</v>
      </c>
      <c r="E643" s="100">
        <v>8888</v>
      </c>
      <c r="F643" s="19">
        <v>1163</v>
      </c>
      <c r="G643" s="43">
        <f t="shared" si="28"/>
        <v>0.52554744</v>
      </c>
      <c r="H643" s="20">
        <v>0.0153215919642857</v>
      </c>
      <c r="I643" s="20">
        <f t="shared" si="29"/>
        <v>0.540869031964286</v>
      </c>
    </row>
    <row r="644" ht="15.75" spans="1:9">
      <c r="A644" s="83"/>
      <c r="B644" s="83"/>
      <c r="C644" s="101"/>
      <c r="D644" s="13" t="s">
        <v>216</v>
      </c>
      <c r="E644" s="100">
        <v>7140</v>
      </c>
      <c r="F644" s="19">
        <v>723</v>
      </c>
      <c r="G644" s="43">
        <f t="shared" si="28"/>
        <v>0.4221882</v>
      </c>
      <c r="H644" s="20">
        <v>0.0238005028571429</v>
      </c>
      <c r="I644" s="20">
        <f t="shared" si="29"/>
        <v>0.445988702857143</v>
      </c>
    </row>
    <row r="645" ht="15.75" spans="1:9">
      <c r="A645" s="83"/>
      <c r="B645" s="83"/>
      <c r="C645" s="101"/>
      <c r="D645" s="13" t="s">
        <v>220</v>
      </c>
      <c r="E645" s="100">
        <v>10337</v>
      </c>
      <c r="F645" s="19">
        <v>990</v>
      </c>
      <c r="G645" s="43">
        <f t="shared" si="28"/>
        <v>0.61122681</v>
      </c>
      <c r="H645" s="20">
        <v>0.0221609228571429</v>
      </c>
      <c r="I645" s="20">
        <f t="shared" si="29"/>
        <v>0.633387732857143</v>
      </c>
    </row>
    <row r="646" ht="15.75" spans="1:9">
      <c r="A646" s="83"/>
      <c r="B646" s="83"/>
      <c r="C646" s="99"/>
      <c r="D646" s="13" t="s">
        <v>66</v>
      </c>
      <c r="E646" s="100">
        <v>4202</v>
      </c>
      <c r="F646" s="19">
        <v>109</v>
      </c>
      <c r="G646" s="43">
        <f t="shared" si="28"/>
        <v>0.24846426</v>
      </c>
      <c r="H646" s="20">
        <v>0.00117175428571429</v>
      </c>
      <c r="I646" s="20">
        <f t="shared" si="29"/>
        <v>0.249636014285714</v>
      </c>
    </row>
    <row r="647" ht="15.75" spans="1:9">
      <c r="A647" s="83"/>
      <c r="B647" s="83"/>
      <c r="C647" s="98" t="s">
        <v>217</v>
      </c>
      <c r="D647" s="13" t="s">
        <v>33</v>
      </c>
      <c r="E647" s="71">
        <v>32383</v>
      </c>
      <c r="F647" s="19">
        <v>214</v>
      </c>
      <c r="G647" s="43">
        <f t="shared" si="28"/>
        <v>1.91480679</v>
      </c>
      <c r="H647" s="20">
        <v>0.00621271714285714</v>
      </c>
      <c r="I647" s="20">
        <f t="shared" si="29"/>
        <v>1.92101950714286</v>
      </c>
    </row>
    <row r="648" ht="15.75" spans="1:9">
      <c r="A648" s="83"/>
      <c r="B648" s="83"/>
      <c r="C648" s="101"/>
      <c r="D648" s="13" t="s">
        <v>161</v>
      </c>
      <c r="E648" s="71">
        <v>89290</v>
      </c>
      <c r="F648" s="19">
        <v>9908</v>
      </c>
      <c r="G648" s="43">
        <f t="shared" si="28"/>
        <v>5.2797177</v>
      </c>
      <c r="H648" s="20">
        <v>0.330893200714286</v>
      </c>
      <c r="I648" s="20">
        <f t="shared" si="29"/>
        <v>5.61061090071429</v>
      </c>
    </row>
    <row r="649" ht="15.75" spans="1:9">
      <c r="A649" s="83"/>
      <c r="B649" s="83"/>
      <c r="C649" s="101"/>
      <c r="D649" s="13" t="s">
        <v>187</v>
      </c>
      <c r="E649" s="71">
        <v>11675</v>
      </c>
      <c r="F649" s="19">
        <v>868</v>
      </c>
      <c r="G649" s="43">
        <f t="shared" si="28"/>
        <v>0.69034275</v>
      </c>
      <c r="H649" s="20">
        <v>0.0319488019642857</v>
      </c>
      <c r="I649" s="20">
        <f t="shared" si="29"/>
        <v>0.722291551964286</v>
      </c>
    </row>
    <row r="650" ht="15.75" spans="1:9">
      <c r="A650" s="83"/>
      <c r="B650" s="83"/>
      <c r="C650" s="99"/>
      <c r="D650" s="13" t="s">
        <v>160</v>
      </c>
      <c r="E650" s="100">
        <v>23291</v>
      </c>
      <c r="F650" s="19">
        <v>4489</v>
      </c>
      <c r="G650" s="43">
        <f t="shared" si="28"/>
        <v>1.37719683</v>
      </c>
      <c r="H650" s="20">
        <v>0.107259395357143</v>
      </c>
      <c r="I650" s="20">
        <f t="shared" si="29"/>
        <v>1.48445622535714</v>
      </c>
    </row>
    <row r="651" ht="15.75" spans="1:9">
      <c r="A651" s="83"/>
      <c r="B651" s="83"/>
      <c r="C651" s="98" t="s">
        <v>174</v>
      </c>
      <c r="D651" s="13" t="s">
        <v>174</v>
      </c>
      <c r="E651" s="100">
        <v>35674</v>
      </c>
      <c r="F651" s="19">
        <v>18576</v>
      </c>
      <c r="G651" s="43">
        <f t="shared" si="28"/>
        <v>2.10940362</v>
      </c>
      <c r="H651" s="20">
        <v>0.480495659464286</v>
      </c>
      <c r="I651" s="20">
        <f t="shared" si="29"/>
        <v>2.58989927946429</v>
      </c>
    </row>
    <row r="652" ht="15.75" spans="1:9">
      <c r="A652" s="83"/>
      <c r="B652" s="83"/>
      <c r="C652" s="101"/>
      <c r="D652" s="13" t="s">
        <v>221</v>
      </c>
      <c r="E652" s="100">
        <v>6925</v>
      </c>
      <c r="F652" s="19">
        <v>6349</v>
      </c>
      <c r="G652" s="43">
        <f t="shared" si="28"/>
        <v>0.40947525</v>
      </c>
      <c r="H652" s="20">
        <v>0.114741139285714</v>
      </c>
      <c r="I652" s="20">
        <f t="shared" si="29"/>
        <v>0.524216389285714</v>
      </c>
    </row>
    <row r="653" ht="15.75" spans="1:9">
      <c r="A653" s="83"/>
      <c r="B653" s="83"/>
      <c r="C653" s="101"/>
      <c r="D653" s="13" t="s">
        <v>202</v>
      </c>
      <c r="E653" s="100">
        <v>8266</v>
      </c>
      <c r="F653" s="19">
        <v>2803</v>
      </c>
      <c r="G653" s="43">
        <f t="shared" si="28"/>
        <v>0.48876858</v>
      </c>
      <c r="H653" s="20">
        <v>0.0947864328571428</v>
      </c>
      <c r="I653" s="20">
        <f t="shared" si="29"/>
        <v>0.583555012857143</v>
      </c>
    </row>
    <row r="654" ht="15.75" spans="1:9">
      <c r="A654" s="83"/>
      <c r="B654" s="83"/>
      <c r="C654" s="101"/>
      <c r="D654" s="13" t="s">
        <v>222</v>
      </c>
      <c r="E654" s="100">
        <v>11567</v>
      </c>
      <c r="F654" s="19">
        <v>4064</v>
      </c>
      <c r="G654" s="43">
        <f t="shared" si="28"/>
        <v>0.68395671</v>
      </c>
      <c r="H654" s="20">
        <v>0.102969393928571</v>
      </c>
      <c r="I654" s="20">
        <f t="shared" si="29"/>
        <v>0.786926103928571</v>
      </c>
    </row>
    <row r="655" ht="15.75" spans="1:9">
      <c r="A655" s="83"/>
      <c r="B655" s="83"/>
      <c r="C655" s="101"/>
      <c r="D655" s="13" t="s">
        <v>205</v>
      </c>
      <c r="E655" s="100">
        <v>11647</v>
      </c>
      <c r="F655" s="19">
        <v>5759</v>
      </c>
      <c r="G655" s="43">
        <f t="shared" si="28"/>
        <v>0.68868711</v>
      </c>
      <c r="H655" s="20">
        <v>0.11798378625</v>
      </c>
      <c r="I655" s="20">
        <f t="shared" si="29"/>
        <v>0.80667089625</v>
      </c>
    </row>
    <row r="656" ht="15.75" spans="1:9">
      <c r="A656" s="83"/>
      <c r="B656" s="83"/>
      <c r="C656" s="101"/>
      <c r="D656" s="13" t="s">
        <v>177</v>
      </c>
      <c r="E656" s="100">
        <v>13377</v>
      </c>
      <c r="F656" s="19">
        <v>5630</v>
      </c>
      <c r="G656" s="43">
        <f t="shared" si="28"/>
        <v>0.79098201</v>
      </c>
      <c r="H656" s="20">
        <v>0.14150000625</v>
      </c>
      <c r="I656" s="20">
        <f t="shared" si="29"/>
        <v>0.93248201625</v>
      </c>
    </row>
    <row r="657" ht="15.75" spans="1:9">
      <c r="A657" s="83"/>
      <c r="B657" s="83"/>
      <c r="C657" s="101"/>
      <c r="D657" s="13" t="s">
        <v>206</v>
      </c>
      <c r="E657" s="100">
        <v>5133</v>
      </c>
      <c r="F657" s="19">
        <v>2146</v>
      </c>
      <c r="G657" s="43">
        <f t="shared" si="28"/>
        <v>0.30351429</v>
      </c>
      <c r="H657" s="20">
        <v>0.0519273898214286</v>
      </c>
      <c r="I657" s="20">
        <f t="shared" si="29"/>
        <v>0.355441679821429</v>
      </c>
    </row>
    <row r="658" ht="15.75" spans="1:9">
      <c r="A658" s="83"/>
      <c r="B658" s="83"/>
      <c r="C658" s="99"/>
      <c r="D658" s="13" t="s">
        <v>175</v>
      </c>
      <c r="E658" s="100">
        <v>6439</v>
      </c>
      <c r="F658" s="19">
        <v>2283</v>
      </c>
      <c r="G658" s="43">
        <f t="shared" si="28"/>
        <v>0.38073807</v>
      </c>
      <c r="H658" s="20">
        <v>0.0614244682142857</v>
      </c>
      <c r="I658" s="20">
        <f t="shared" si="29"/>
        <v>0.442162538214286</v>
      </c>
    </row>
    <row r="659" ht="15.75" spans="1:9">
      <c r="A659" s="83"/>
      <c r="B659" s="83"/>
      <c r="C659" s="98" t="s">
        <v>48</v>
      </c>
      <c r="D659" s="13" t="s">
        <v>48</v>
      </c>
      <c r="E659" s="71">
        <v>631107</v>
      </c>
      <c r="F659" s="19">
        <v>8082</v>
      </c>
      <c r="G659" s="43">
        <f t="shared" si="28"/>
        <v>37.31735691</v>
      </c>
      <c r="H659" s="20">
        <v>0.211271802857143</v>
      </c>
      <c r="I659" s="20">
        <f t="shared" si="29"/>
        <v>37.5286287128571</v>
      </c>
    </row>
    <row r="660" ht="15.75" spans="1:9">
      <c r="A660" s="83"/>
      <c r="B660" s="83"/>
      <c r="C660" s="101"/>
      <c r="D660" s="13" t="s">
        <v>195</v>
      </c>
      <c r="E660" s="71">
        <v>14257</v>
      </c>
      <c r="F660" s="19">
        <v>1148</v>
      </c>
      <c r="G660" s="43">
        <f t="shared" si="28"/>
        <v>0.84301641</v>
      </c>
      <c r="H660" s="20">
        <v>0.0338353957142857</v>
      </c>
      <c r="I660" s="20">
        <f t="shared" si="29"/>
        <v>0.876851805714286</v>
      </c>
    </row>
    <row r="661" ht="15.75" spans="1:9">
      <c r="A661" s="83"/>
      <c r="B661" s="83"/>
      <c r="C661" s="101"/>
      <c r="D661" s="13" t="s">
        <v>194</v>
      </c>
      <c r="E661" s="71">
        <v>24401</v>
      </c>
      <c r="F661" s="19">
        <v>1958</v>
      </c>
      <c r="G661" s="43">
        <f t="shared" si="28"/>
        <v>1.44283113</v>
      </c>
      <c r="H661" s="20">
        <v>0.0368602680357143</v>
      </c>
      <c r="I661" s="20">
        <f t="shared" si="29"/>
        <v>1.47969139803571</v>
      </c>
    </row>
    <row r="662" ht="15.75" spans="1:9">
      <c r="A662" s="83"/>
      <c r="B662" s="83"/>
      <c r="C662" s="101"/>
      <c r="D662" s="13" t="s">
        <v>149</v>
      </c>
      <c r="E662" s="71">
        <v>23170</v>
      </c>
      <c r="F662" s="19">
        <v>774</v>
      </c>
      <c r="G662" s="43">
        <f t="shared" si="28"/>
        <v>1.3700421</v>
      </c>
      <c r="H662" s="20">
        <v>0.01130259</v>
      </c>
      <c r="I662" s="20">
        <f t="shared" si="29"/>
        <v>1.38134469</v>
      </c>
    </row>
    <row r="663" ht="15.75" spans="1:9">
      <c r="A663" s="83"/>
      <c r="B663" s="83"/>
      <c r="C663" s="101"/>
      <c r="D663" s="13" t="s">
        <v>199</v>
      </c>
      <c r="E663" s="71">
        <v>12379</v>
      </c>
      <c r="F663" s="19">
        <v>1818</v>
      </c>
      <c r="G663" s="43">
        <f t="shared" si="28"/>
        <v>0.73197027</v>
      </c>
      <c r="H663" s="20">
        <v>0.0530537928571429</v>
      </c>
      <c r="I663" s="20">
        <f t="shared" si="29"/>
        <v>0.785024062857143</v>
      </c>
    </row>
    <row r="664" ht="15.75" spans="1:9">
      <c r="A664" s="83"/>
      <c r="B664" s="83"/>
      <c r="C664" s="101"/>
      <c r="D664" s="13" t="s">
        <v>186</v>
      </c>
      <c r="E664" s="71">
        <v>31570</v>
      </c>
      <c r="F664" s="19">
        <v>8886</v>
      </c>
      <c r="G664" s="43">
        <f t="shared" si="28"/>
        <v>1.8667341</v>
      </c>
      <c r="H664" s="20">
        <v>0.250131371428571</v>
      </c>
      <c r="I664" s="20">
        <f t="shared" si="29"/>
        <v>2.11686547142857</v>
      </c>
    </row>
    <row r="665" ht="15.75" spans="1:9">
      <c r="A665" s="83"/>
      <c r="B665" s="83"/>
      <c r="C665" s="99"/>
      <c r="D665" s="13" t="s">
        <v>148</v>
      </c>
      <c r="E665" s="71">
        <v>23827</v>
      </c>
      <c r="F665" s="19">
        <v>548</v>
      </c>
      <c r="G665" s="43">
        <f t="shared" si="28"/>
        <v>1.40889051</v>
      </c>
      <c r="H665" s="20">
        <v>0.0107259942857143</v>
      </c>
      <c r="I665" s="20">
        <f t="shared" si="29"/>
        <v>1.41961650428571</v>
      </c>
    </row>
    <row r="666" ht="15.75" spans="1:9">
      <c r="A666" s="83"/>
      <c r="B666" s="83"/>
      <c r="C666" s="101" t="s">
        <v>37</v>
      </c>
      <c r="D666" s="13" t="s">
        <v>39</v>
      </c>
      <c r="E666" s="71">
        <v>21432</v>
      </c>
      <c r="F666" s="19">
        <v>1362</v>
      </c>
      <c r="G666" s="43">
        <f t="shared" si="28"/>
        <v>1.26727416</v>
      </c>
      <c r="H666" s="20">
        <v>0.0311336005357143</v>
      </c>
      <c r="I666" s="20">
        <f t="shared" si="29"/>
        <v>1.29840776053571</v>
      </c>
    </row>
    <row r="667" ht="15.75" spans="1:9">
      <c r="A667" s="83"/>
      <c r="B667" s="83"/>
      <c r="C667" s="98" t="s">
        <v>65</v>
      </c>
      <c r="D667" s="13" t="s">
        <v>193</v>
      </c>
      <c r="E667" s="100">
        <v>21799</v>
      </c>
      <c r="F667" s="19">
        <v>93358</v>
      </c>
      <c r="G667" s="43">
        <f t="shared" si="28"/>
        <v>1.28897487</v>
      </c>
      <c r="H667" s="20">
        <v>0.212704375714286</v>
      </c>
      <c r="I667" s="20">
        <f t="shared" si="29"/>
        <v>1.50167924571429</v>
      </c>
    </row>
    <row r="668" ht="15.75" spans="1:9">
      <c r="A668" s="83"/>
      <c r="B668" s="83"/>
      <c r="C668" s="101"/>
      <c r="D668" s="13" t="s">
        <v>189</v>
      </c>
      <c r="E668" s="100">
        <v>705304</v>
      </c>
      <c r="F668" s="19">
        <v>22407</v>
      </c>
      <c r="G668" s="43">
        <f t="shared" si="28"/>
        <v>41.70462552</v>
      </c>
      <c r="H668" s="20">
        <v>0.810253801428572</v>
      </c>
      <c r="I668" s="20">
        <f t="shared" si="29"/>
        <v>42.5148793214286</v>
      </c>
    </row>
    <row r="669" ht="15.75" spans="1:9">
      <c r="A669" s="83"/>
      <c r="B669" s="83"/>
      <c r="C669" s="101"/>
      <c r="D669" s="13" t="s">
        <v>223</v>
      </c>
      <c r="E669" s="100">
        <v>127766</v>
      </c>
      <c r="F669" s="19">
        <v>21460</v>
      </c>
      <c r="G669" s="43">
        <f t="shared" si="28"/>
        <v>7.55480358</v>
      </c>
      <c r="H669" s="20">
        <v>0.526269488214286</v>
      </c>
      <c r="I669" s="20">
        <f t="shared" si="29"/>
        <v>8.08107306821429</v>
      </c>
    </row>
    <row r="670" ht="15.75" spans="1:9">
      <c r="A670" s="83"/>
      <c r="B670" s="83"/>
      <c r="C670" s="101"/>
      <c r="D670" s="13" t="s">
        <v>224</v>
      </c>
      <c r="E670" s="100">
        <v>12174</v>
      </c>
      <c r="F670" s="19">
        <v>4330</v>
      </c>
      <c r="G670" s="43">
        <f t="shared" si="28"/>
        <v>0.71984862</v>
      </c>
      <c r="H670" s="20">
        <v>0.133739545714286</v>
      </c>
      <c r="I670" s="20">
        <f t="shared" si="29"/>
        <v>0.853588165714286</v>
      </c>
    </row>
    <row r="671" ht="15.75" spans="1:9">
      <c r="A671" s="83"/>
      <c r="B671" s="83"/>
      <c r="C671" s="101"/>
      <c r="D671" s="13" t="s">
        <v>225</v>
      </c>
      <c r="E671" s="100">
        <v>328785</v>
      </c>
      <c r="F671" s="19">
        <v>8275</v>
      </c>
      <c r="G671" s="43">
        <f t="shared" si="28"/>
        <v>19.44105705</v>
      </c>
      <c r="H671" s="20">
        <v>0.291687142857143</v>
      </c>
      <c r="I671" s="20">
        <f t="shared" si="29"/>
        <v>19.7327441928571</v>
      </c>
    </row>
    <row r="672" ht="15.75" spans="1:9">
      <c r="A672" s="83"/>
      <c r="B672" s="83"/>
      <c r="C672" s="101"/>
      <c r="D672" s="13" t="s">
        <v>191</v>
      </c>
      <c r="E672" s="100">
        <v>32248</v>
      </c>
      <c r="F672" s="19">
        <v>20358</v>
      </c>
      <c r="G672" s="43">
        <f t="shared" si="28"/>
        <v>1.90682424</v>
      </c>
      <c r="H672" s="20">
        <v>0.109201273571429</v>
      </c>
      <c r="I672" s="20">
        <f t="shared" si="29"/>
        <v>2.01602551357143</v>
      </c>
    </row>
    <row r="673" ht="15.75" spans="1:9">
      <c r="A673" s="83"/>
      <c r="B673" s="83"/>
      <c r="C673" s="101"/>
      <c r="D673" s="13" t="s">
        <v>226</v>
      </c>
      <c r="E673" s="100">
        <v>48244</v>
      </c>
      <c r="F673" s="19">
        <v>6058</v>
      </c>
      <c r="G673" s="43">
        <f t="shared" si="28"/>
        <v>2.85266772</v>
      </c>
      <c r="H673" s="20">
        <v>0.21684093375</v>
      </c>
      <c r="I673" s="20">
        <f t="shared" si="29"/>
        <v>3.06950865375</v>
      </c>
    </row>
    <row r="674" ht="15.75" spans="1:9">
      <c r="A674" s="83"/>
      <c r="B674" s="83"/>
      <c r="C674" s="101"/>
      <c r="D674" s="13" t="s">
        <v>182</v>
      </c>
      <c r="E674" s="100">
        <v>11640</v>
      </c>
      <c r="F674" s="19">
        <v>1857</v>
      </c>
      <c r="G674" s="43">
        <f t="shared" si="28"/>
        <v>0.6882732</v>
      </c>
      <c r="H674" s="20">
        <v>0.0685260385714286</v>
      </c>
      <c r="I674" s="20">
        <f t="shared" si="29"/>
        <v>0.756799238571429</v>
      </c>
    </row>
    <row r="675" ht="15.75" spans="1:9">
      <c r="A675" s="83"/>
      <c r="B675" s="83"/>
      <c r="C675" s="101"/>
      <c r="D675" s="13" t="s">
        <v>214</v>
      </c>
      <c r="E675" s="100">
        <v>131218</v>
      </c>
      <c r="F675" s="42" t="s">
        <v>29</v>
      </c>
      <c r="G675" s="43">
        <f t="shared" si="28"/>
        <v>7.75892034</v>
      </c>
      <c r="H675" s="42" t="s">
        <v>29</v>
      </c>
      <c r="I675" s="20">
        <f>G675</f>
        <v>7.75892034</v>
      </c>
    </row>
    <row r="676" ht="15.75" spans="1:9">
      <c r="A676" s="83"/>
      <c r="B676" s="83"/>
      <c r="C676" s="99"/>
      <c r="D676" s="13" t="s">
        <v>207</v>
      </c>
      <c r="E676" s="100">
        <v>8619</v>
      </c>
      <c r="F676" s="19">
        <v>1418</v>
      </c>
      <c r="G676" s="43">
        <f t="shared" si="28"/>
        <v>0.50964147</v>
      </c>
      <c r="H676" s="20">
        <v>0.0516771171428571</v>
      </c>
      <c r="I676" s="20">
        <f t="shared" ref="I676:I739" si="30">G676+H676</f>
        <v>0.561318587142857</v>
      </c>
    </row>
    <row r="677" ht="15.75" spans="1:9">
      <c r="A677" s="83"/>
      <c r="B677" s="83"/>
      <c r="C677" s="192" t="s">
        <v>227</v>
      </c>
      <c r="D677" s="13" t="s">
        <v>151</v>
      </c>
      <c r="E677" s="71">
        <v>21149</v>
      </c>
      <c r="F677" s="19">
        <v>2690</v>
      </c>
      <c r="G677" s="43">
        <f t="shared" si="28"/>
        <v>1.25054037</v>
      </c>
      <c r="H677" s="20">
        <v>0.0724287228571429</v>
      </c>
      <c r="I677" s="20">
        <f t="shared" si="30"/>
        <v>1.32296909285714</v>
      </c>
    </row>
    <row r="678" ht="15.75" spans="1:9">
      <c r="A678" s="83"/>
      <c r="B678" s="83"/>
      <c r="C678" s="100" t="s">
        <v>95</v>
      </c>
      <c r="D678" s="13" t="s">
        <v>57</v>
      </c>
      <c r="E678" s="71">
        <v>27251</v>
      </c>
      <c r="F678" s="19">
        <v>3260</v>
      </c>
      <c r="G678" s="43">
        <f t="shared" si="28"/>
        <v>1.61135163</v>
      </c>
      <c r="H678" s="20">
        <v>0.0386525744642857</v>
      </c>
      <c r="I678" s="20">
        <f t="shared" si="30"/>
        <v>1.65000420446429</v>
      </c>
    </row>
    <row r="679" ht="15.75" spans="1:9">
      <c r="A679" s="83"/>
      <c r="B679" s="83"/>
      <c r="C679" s="98" t="s">
        <v>184</v>
      </c>
      <c r="D679" s="13" t="s">
        <v>164</v>
      </c>
      <c r="E679" s="100">
        <v>7718</v>
      </c>
      <c r="F679" s="19">
        <v>2852</v>
      </c>
      <c r="G679" s="43">
        <f t="shared" si="28"/>
        <v>0.45636534</v>
      </c>
      <c r="H679" s="20">
        <v>0.0739833882142857</v>
      </c>
      <c r="I679" s="20">
        <f t="shared" si="30"/>
        <v>0.530348728214286</v>
      </c>
    </row>
    <row r="680" ht="15.75" spans="1:9">
      <c r="A680" s="83"/>
      <c r="B680" s="83"/>
      <c r="C680" s="101"/>
      <c r="D680" s="13" t="s">
        <v>163</v>
      </c>
      <c r="E680" s="100">
        <v>61535</v>
      </c>
      <c r="F680" s="19">
        <v>1911</v>
      </c>
      <c r="G680" s="43">
        <f t="shared" si="28"/>
        <v>3.63856455</v>
      </c>
      <c r="H680" s="20">
        <v>0.0467710348214286</v>
      </c>
      <c r="I680" s="20">
        <f t="shared" si="30"/>
        <v>3.68533558482143</v>
      </c>
    </row>
    <row r="681" ht="15.75" spans="1:9">
      <c r="A681" s="83"/>
      <c r="B681" s="83"/>
      <c r="C681" s="101"/>
      <c r="D681" s="13" t="s">
        <v>158</v>
      </c>
      <c r="E681" s="100">
        <v>22877</v>
      </c>
      <c r="F681" s="19">
        <v>4003</v>
      </c>
      <c r="G681" s="43">
        <f t="shared" si="28"/>
        <v>1.35271701</v>
      </c>
      <c r="H681" s="20">
        <v>0.104601048214286</v>
      </c>
      <c r="I681" s="20">
        <f t="shared" si="30"/>
        <v>1.45731805821429</v>
      </c>
    </row>
    <row r="682" ht="15.75" spans="1:9">
      <c r="A682" s="83"/>
      <c r="B682" s="83"/>
      <c r="C682" s="101"/>
      <c r="D682" s="13" t="s">
        <v>208</v>
      </c>
      <c r="E682" s="100">
        <v>9538</v>
      </c>
      <c r="F682" s="19">
        <v>2339</v>
      </c>
      <c r="G682" s="43">
        <f t="shared" si="28"/>
        <v>0.56398194</v>
      </c>
      <c r="H682" s="20">
        <v>0.0699708128571429</v>
      </c>
      <c r="I682" s="20">
        <f t="shared" si="30"/>
        <v>0.633952752857143</v>
      </c>
    </row>
    <row r="683" ht="15.75" spans="1:9">
      <c r="A683" s="83"/>
      <c r="B683" s="83"/>
      <c r="C683" s="101"/>
      <c r="D683" s="13" t="s">
        <v>209</v>
      </c>
      <c r="E683" s="100">
        <v>6360</v>
      </c>
      <c r="F683" s="19">
        <v>3393</v>
      </c>
      <c r="G683" s="43">
        <f t="shared" si="28"/>
        <v>0.3760668</v>
      </c>
      <c r="H683" s="20">
        <v>0.0619440196428572</v>
      </c>
      <c r="I683" s="20">
        <f t="shared" si="30"/>
        <v>0.438010819642857</v>
      </c>
    </row>
    <row r="684" ht="15.75" spans="1:9">
      <c r="A684" s="83"/>
      <c r="B684" s="83"/>
      <c r="C684" s="99"/>
      <c r="D684" s="13" t="s">
        <v>228</v>
      </c>
      <c r="E684" s="100">
        <v>9376</v>
      </c>
      <c r="F684" s="19">
        <v>5279</v>
      </c>
      <c r="G684" s="43">
        <f t="shared" si="28"/>
        <v>0.55440288</v>
      </c>
      <c r="H684" s="20">
        <v>0.0980096305357143</v>
      </c>
      <c r="I684" s="20">
        <f t="shared" si="30"/>
        <v>0.652412510535714</v>
      </c>
    </row>
    <row r="685" ht="15.75" spans="1:9">
      <c r="A685" s="83"/>
      <c r="B685" s="83"/>
      <c r="C685" s="71" t="s">
        <v>58</v>
      </c>
      <c r="D685" s="13" t="s">
        <v>157</v>
      </c>
      <c r="E685" s="71">
        <v>6567</v>
      </c>
      <c r="F685" s="19">
        <v>181</v>
      </c>
      <c r="G685" s="43">
        <f t="shared" si="28"/>
        <v>0.38830671</v>
      </c>
      <c r="H685" s="20">
        <v>0.00330585714285714</v>
      </c>
      <c r="I685" s="20">
        <f t="shared" si="30"/>
        <v>0.391612567142857</v>
      </c>
    </row>
    <row r="686" ht="15.75" spans="1:9">
      <c r="A686" s="83"/>
      <c r="B686" s="83"/>
      <c r="C686" s="98" t="s">
        <v>153</v>
      </c>
      <c r="D686" s="13" t="s">
        <v>155</v>
      </c>
      <c r="E686" s="71">
        <v>20553</v>
      </c>
      <c r="F686" s="19">
        <v>1440</v>
      </c>
      <c r="G686" s="43">
        <f t="shared" si="28"/>
        <v>1.21529889</v>
      </c>
      <c r="H686" s="20">
        <v>0.0575219142857143</v>
      </c>
      <c r="I686" s="20">
        <f t="shared" si="30"/>
        <v>1.27282080428571</v>
      </c>
    </row>
    <row r="687" ht="15.75" spans="1:9">
      <c r="A687" s="83"/>
      <c r="B687" s="83"/>
      <c r="C687" s="101"/>
      <c r="D687" s="13" t="s">
        <v>153</v>
      </c>
      <c r="E687" s="71">
        <v>48977</v>
      </c>
      <c r="F687" s="19">
        <v>1628</v>
      </c>
      <c r="G687" s="43">
        <f t="shared" si="28"/>
        <v>2.89601001</v>
      </c>
      <c r="H687" s="20">
        <v>0.0644428357142857</v>
      </c>
      <c r="I687" s="20">
        <f t="shared" si="30"/>
        <v>2.96045284571429</v>
      </c>
    </row>
    <row r="688" ht="15.75" spans="1:9">
      <c r="A688" s="83"/>
      <c r="B688" s="83"/>
      <c r="C688" s="101"/>
      <c r="D688" s="13" t="s">
        <v>154</v>
      </c>
      <c r="E688" s="71">
        <v>8263</v>
      </c>
      <c r="F688" s="19">
        <v>3422</v>
      </c>
      <c r="G688" s="43">
        <f t="shared" si="28"/>
        <v>0.48859119</v>
      </c>
      <c r="H688" s="20">
        <v>0.0889008078571429</v>
      </c>
      <c r="I688" s="20">
        <f t="shared" si="30"/>
        <v>0.577491997857143</v>
      </c>
    </row>
    <row r="689" ht="15.75" spans="1:9">
      <c r="A689" s="83"/>
      <c r="B689" s="83"/>
      <c r="C689" s="99"/>
      <c r="D689" s="13" t="s">
        <v>200</v>
      </c>
      <c r="E689" s="71">
        <v>10879</v>
      </c>
      <c r="F689" s="19">
        <v>2939</v>
      </c>
      <c r="G689" s="43">
        <f t="shared" si="28"/>
        <v>0.64327527</v>
      </c>
      <c r="H689" s="20">
        <v>0.0984484257142857</v>
      </c>
      <c r="I689" s="20">
        <f t="shared" si="30"/>
        <v>0.741723695714286</v>
      </c>
    </row>
    <row r="690" ht="15.75" spans="1:9">
      <c r="A690" s="83"/>
      <c r="B690" s="83"/>
      <c r="C690" s="98" t="s">
        <v>27</v>
      </c>
      <c r="D690" s="13" t="s">
        <v>31</v>
      </c>
      <c r="E690" s="71">
        <v>18166</v>
      </c>
      <c r="F690" s="19">
        <v>2645</v>
      </c>
      <c r="G690" s="43">
        <f t="shared" si="28"/>
        <v>1.07415558</v>
      </c>
      <c r="H690" s="20">
        <v>0.0917199114285715</v>
      </c>
      <c r="I690" s="20">
        <f t="shared" si="30"/>
        <v>1.16587549142857</v>
      </c>
    </row>
    <row r="691" ht="15.75" spans="1:9">
      <c r="A691" s="83"/>
      <c r="B691" s="83"/>
      <c r="C691" s="101"/>
      <c r="D691" s="13" t="s">
        <v>210</v>
      </c>
      <c r="E691" s="71">
        <v>146121</v>
      </c>
      <c r="F691" s="19">
        <v>2984</v>
      </c>
      <c r="G691" s="43">
        <f t="shared" si="28"/>
        <v>8.64013473</v>
      </c>
      <c r="H691" s="20">
        <v>0.0169958208928571</v>
      </c>
      <c r="I691" s="20">
        <f t="shared" si="30"/>
        <v>8.65713055089286</v>
      </c>
    </row>
    <row r="692" ht="15.75" spans="1:9">
      <c r="A692" s="83"/>
      <c r="B692" s="83"/>
      <c r="C692" s="101"/>
      <c r="D692" s="13" t="s">
        <v>211</v>
      </c>
      <c r="E692" s="71">
        <v>11447</v>
      </c>
      <c r="F692" s="19">
        <v>5199</v>
      </c>
      <c r="G692" s="43">
        <f t="shared" si="28"/>
        <v>0.67686111</v>
      </c>
      <c r="H692" s="20">
        <v>0.203858235714286</v>
      </c>
      <c r="I692" s="20">
        <f t="shared" si="30"/>
        <v>0.880719345714286</v>
      </c>
    </row>
    <row r="693" ht="15.75" spans="1:9">
      <c r="A693" s="83"/>
      <c r="B693" s="83"/>
      <c r="C693" s="101"/>
      <c r="D693" s="13" t="s">
        <v>212</v>
      </c>
      <c r="E693" s="71">
        <v>11832</v>
      </c>
      <c r="F693" s="19">
        <v>1138</v>
      </c>
      <c r="G693" s="43">
        <f t="shared" si="28"/>
        <v>0.69962616</v>
      </c>
      <c r="H693" s="20">
        <v>0.0382378171428571</v>
      </c>
      <c r="I693" s="20">
        <f t="shared" si="30"/>
        <v>0.737863977142857</v>
      </c>
    </row>
    <row r="694" ht="15.75" spans="1:9">
      <c r="A694" s="83"/>
      <c r="B694" s="83"/>
      <c r="C694" s="101"/>
      <c r="D694" s="13" t="s">
        <v>229</v>
      </c>
      <c r="E694" s="71">
        <v>15247</v>
      </c>
      <c r="F694" s="19">
        <v>302</v>
      </c>
      <c r="G694" s="43">
        <f t="shared" si="28"/>
        <v>0.90155511</v>
      </c>
      <c r="H694" s="20">
        <v>0.00232946910714286</v>
      </c>
      <c r="I694" s="20">
        <f t="shared" si="30"/>
        <v>0.903884579107143</v>
      </c>
    </row>
    <row r="695" ht="15.75" spans="1:9">
      <c r="A695" s="83"/>
      <c r="B695" s="83"/>
      <c r="C695" s="101"/>
      <c r="D695" s="13" t="s">
        <v>27</v>
      </c>
      <c r="E695" s="71">
        <v>1470299</v>
      </c>
      <c r="F695" s="19">
        <v>103619</v>
      </c>
      <c r="G695" s="43">
        <f t="shared" si="28"/>
        <v>86.93877987</v>
      </c>
      <c r="H695" s="20">
        <v>1.13282472839286</v>
      </c>
      <c r="I695" s="20">
        <f t="shared" si="30"/>
        <v>88.0716045983929</v>
      </c>
    </row>
    <row r="696" ht="15.75" spans="1:9">
      <c r="A696" s="83"/>
      <c r="B696" s="83"/>
      <c r="C696" s="99"/>
      <c r="D696" s="13" t="s">
        <v>28</v>
      </c>
      <c r="E696" s="71">
        <v>50587</v>
      </c>
      <c r="F696" s="19">
        <v>3952</v>
      </c>
      <c r="G696" s="43">
        <f t="shared" si="28"/>
        <v>2.99120931</v>
      </c>
      <c r="H696" s="20">
        <v>0.120086264464286</v>
      </c>
      <c r="I696" s="20">
        <f t="shared" si="30"/>
        <v>3.11129557446429</v>
      </c>
    </row>
    <row r="697" ht="15.75" spans="1:9">
      <c r="A697" s="83"/>
      <c r="B697" s="83"/>
      <c r="C697" s="98" t="s">
        <v>162</v>
      </c>
      <c r="D697" s="13" t="s">
        <v>230</v>
      </c>
      <c r="E697" s="100">
        <v>11340</v>
      </c>
      <c r="F697" s="19">
        <v>4593</v>
      </c>
      <c r="G697" s="43">
        <f t="shared" si="28"/>
        <v>0.6705342</v>
      </c>
      <c r="H697" s="20">
        <v>0.0448917019642857</v>
      </c>
      <c r="I697" s="20">
        <f t="shared" si="30"/>
        <v>0.715425901964286</v>
      </c>
    </row>
    <row r="698" ht="15.75" spans="1:9">
      <c r="A698" s="83"/>
      <c r="B698" s="83"/>
      <c r="C698" s="101"/>
      <c r="D698" s="13" t="s">
        <v>231</v>
      </c>
      <c r="E698" s="100">
        <v>7730</v>
      </c>
      <c r="F698" s="19">
        <v>1191</v>
      </c>
      <c r="G698" s="43">
        <f t="shared" si="28"/>
        <v>0.4570749</v>
      </c>
      <c r="H698" s="20">
        <v>0.0300917471428571</v>
      </c>
      <c r="I698" s="20">
        <f t="shared" si="30"/>
        <v>0.487166647142857</v>
      </c>
    </row>
    <row r="699" ht="15.75" spans="1:9">
      <c r="A699" s="83"/>
      <c r="B699" s="83"/>
      <c r="C699" s="101"/>
      <c r="D699" s="13" t="s">
        <v>232</v>
      </c>
      <c r="E699" s="100">
        <v>5570</v>
      </c>
      <c r="F699" s="19">
        <v>669</v>
      </c>
      <c r="G699" s="43">
        <f t="shared" si="28"/>
        <v>0.3293541</v>
      </c>
      <c r="H699" s="20">
        <v>0.0197937805357143</v>
      </c>
      <c r="I699" s="20">
        <f t="shared" si="30"/>
        <v>0.349147880535714</v>
      </c>
    </row>
    <row r="700" ht="15.75" spans="1:9">
      <c r="A700" s="83"/>
      <c r="B700" s="83"/>
      <c r="C700" s="101"/>
      <c r="D700" s="13" t="s">
        <v>233</v>
      </c>
      <c r="E700" s="100">
        <v>20096</v>
      </c>
      <c r="F700" s="19">
        <v>4046</v>
      </c>
      <c r="G700" s="43">
        <f t="shared" si="28"/>
        <v>1.18827648</v>
      </c>
      <c r="H700" s="20">
        <v>0.0974236882142857</v>
      </c>
      <c r="I700" s="20">
        <f t="shared" si="30"/>
        <v>1.28570016821429</v>
      </c>
    </row>
    <row r="701" ht="15.75" spans="1:9">
      <c r="A701" s="83"/>
      <c r="B701" s="83"/>
      <c r="C701" s="101"/>
      <c r="D701" s="13" t="s">
        <v>234</v>
      </c>
      <c r="E701" s="100">
        <v>40386</v>
      </c>
      <c r="F701" s="19">
        <v>2373</v>
      </c>
      <c r="G701" s="43">
        <f t="shared" si="28"/>
        <v>2.38802418</v>
      </c>
      <c r="H701" s="20">
        <v>0.0841691042857143</v>
      </c>
      <c r="I701" s="20">
        <f t="shared" si="30"/>
        <v>2.47219328428571</v>
      </c>
    </row>
    <row r="702" ht="15.75" spans="1:9">
      <c r="A702" s="83"/>
      <c r="B702" s="83"/>
      <c r="C702" s="101"/>
      <c r="D702" s="13" t="s">
        <v>197</v>
      </c>
      <c r="E702" s="100">
        <v>16051</v>
      </c>
      <c r="F702" s="19">
        <v>799</v>
      </c>
      <c r="G702" s="43">
        <f t="shared" si="28"/>
        <v>0.94909563</v>
      </c>
      <c r="H702" s="20">
        <v>0.0170685471428571</v>
      </c>
      <c r="I702" s="20">
        <f t="shared" si="30"/>
        <v>0.966164177142857</v>
      </c>
    </row>
    <row r="703" ht="15.75" spans="1:9">
      <c r="A703" s="83"/>
      <c r="B703" s="83"/>
      <c r="C703" s="101"/>
      <c r="D703" s="13" t="s">
        <v>235</v>
      </c>
      <c r="E703" s="100">
        <v>31584</v>
      </c>
      <c r="F703" s="19">
        <v>5646</v>
      </c>
      <c r="G703" s="43">
        <f t="shared" si="28"/>
        <v>1.86756192</v>
      </c>
      <c r="H703" s="20">
        <v>0.185379224285714</v>
      </c>
      <c r="I703" s="20">
        <f t="shared" si="30"/>
        <v>2.05294114428571</v>
      </c>
    </row>
    <row r="704" ht="15.75" spans="1:9">
      <c r="A704" s="84"/>
      <c r="B704" s="84"/>
      <c r="C704" s="99"/>
      <c r="D704" s="13" t="s">
        <v>236</v>
      </c>
      <c r="E704" s="100">
        <v>191122</v>
      </c>
      <c r="F704" s="19">
        <v>19352</v>
      </c>
      <c r="G704" s="43">
        <f t="shared" si="28"/>
        <v>11.30104386</v>
      </c>
      <c r="H704" s="20">
        <v>0.646574257321429</v>
      </c>
      <c r="I704" s="20">
        <f t="shared" si="30"/>
        <v>11.9476181173214</v>
      </c>
    </row>
    <row r="705" ht="15.75" spans="1:9">
      <c r="A705" s="70">
        <v>2</v>
      </c>
      <c r="B705" s="70">
        <v>2050</v>
      </c>
      <c r="C705" s="98" t="s">
        <v>78</v>
      </c>
      <c r="D705" s="13" t="s">
        <v>219</v>
      </c>
      <c r="E705" s="100">
        <v>6438</v>
      </c>
      <c r="F705" s="19">
        <v>768</v>
      </c>
      <c r="G705" s="43">
        <f t="shared" ref="G705:G768" si="31">E705*162*365/POWER(10,9)</f>
        <v>0.38067894</v>
      </c>
      <c r="H705" s="20">
        <v>0.0284941942857143</v>
      </c>
      <c r="I705" s="20">
        <f t="shared" si="30"/>
        <v>0.409173134285714</v>
      </c>
    </row>
    <row r="706" ht="15.75" spans="1:9">
      <c r="A706" s="83"/>
      <c r="B706" s="83"/>
      <c r="C706" s="101"/>
      <c r="D706" s="13" t="s">
        <v>215</v>
      </c>
      <c r="E706" s="100">
        <v>33163</v>
      </c>
      <c r="F706" s="19">
        <v>1289</v>
      </c>
      <c r="G706" s="43">
        <f t="shared" si="31"/>
        <v>1.96092819</v>
      </c>
      <c r="H706" s="20">
        <v>0.0517</v>
      </c>
      <c r="I706" s="20">
        <f t="shared" si="30"/>
        <v>2.01262819</v>
      </c>
    </row>
    <row r="707" ht="15.75" spans="1:9">
      <c r="A707" s="83"/>
      <c r="B707" s="83"/>
      <c r="C707" s="101"/>
      <c r="D707" s="13" t="s">
        <v>203</v>
      </c>
      <c r="E707" s="100">
        <v>10398</v>
      </c>
      <c r="F707" s="19">
        <v>41</v>
      </c>
      <c r="G707" s="43">
        <f t="shared" si="31"/>
        <v>0.61483374</v>
      </c>
      <c r="H707" s="20">
        <v>0.000756071428571429</v>
      </c>
      <c r="I707" s="20">
        <f t="shared" si="30"/>
        <v>0.615589811428571</v>
      </c>
    </row>
    <row r="708" ht="15.75" spans="1:9">
      <c r="A708" s="83"/>
      <c r="B708" s="83"/>
      <c r="C708" s="101"/>
      <c r="D708" s="13" t="s">
        <v>216</v>
      </c>
      <c r="E708" s="100">
        <v>9095</v>
      </c>
      <c r="F708" s="19">
        <v>723</v>
      </c>
      <c r="G708" s="43">
        <f t="shared" si="31"/>
        <v>0.53778735</v>
      </c>
      <c r="H708" s="20">
        <v>0.0238005028571429</v>
      </c>
      <c r="I708" s="20">
        <f t="shared" si="30"/>
        <v>0.561587852857143</v>
      </c>
    </row>
    <row r="709" ht="15.75" spans="1:9">
      <c r="A709" s="83"/>
      <c r="B709" s="83"/>
      <c r="C709" s="101"/>
      <c r="D709" s="13" t="s">
        <v>220</v>
      </c>
      <c r="E709" s="100">
        <v>13415</v>
      </c>
      <c r="F709" s="19">
        <v>1073</v>
      </c>
      <c r="G709" s="43">
        <f t="shared" si="31"/>
        <v>0.79322895</v>
      </c>
      <c r="H709" s="20">
        <v>0.00932648</v>
      </c>
      <c r="I709" s="20">
        <f t="shared" si="30"/>
        <v>0.80255543</v>
      </c>
    </row>
    <row r="710" ht="15.75" spans="1:9">
      <c r="A710" s="83"/>
      <c r="B710" s="83"/>
      <c r="C710" s="99"/>
      <c r="D710" s="13" t="s">
        <v>66</v>
      </c>
      <c r="E710" s="100">
        <v>4965</v>
      </c>
      <c r="F710" s="19">
        <v>64</v>
      </c>
      <c r="G710" s="43">
        <f t="shared" si="31"/>
        <v>0.29358045</v>
      </c>
      <c r="H710" s="20">
        <v>0.000421418571428571</v>
      </c>
      <c r="I710" s="20">
        <f t="shared" si="30"/>
        <v>0.294001868571429</v>
      </c>
    </row>
    <row r="711" ht="15.75" spans="1:9">
      <c r="A711" s="83"/>
      <c r="B711" s="83"/>
      <c r="C711" s="98" t="s">
        <v>217</v>
      </c>
      <c r="D711" s="13" t="s">
        <v>33</v>
      </c>
      <c r="E711" s="71">
        <v>40476</v>
      </c>
      <c r="F711" s="19">
        <v>214</v>
      </c>
      <c r="G711" s="43">
        <f t="shared" si="31"/>
        <v>2.39334588</v>
      </c>
      <c r="H711" s="20">
        <v>0.00621271714285714</v>
      </c>
      <c r="I711" s="20">
        <f t="shared" si="30"/>
        <v>2.39955859714286</v>
      </c>
    </row>
    <row r="712" ht="15.75" spans="1:9">
      <c r="A712" s="83"/>
      <c r="B712" s="83"/>
      <c r="C712" s="101"/>
      <c r="D712" s="13" t="s">
        <v>161</v>
      </c>
      <c r="E712" s="71">
        <v>253150</v>
      </c>
      <c r="F712" s="19">
        <v>16623</v>
      </c>
      <c r="G712" s="43">
        <f t="shared" si="31"/>
        <v>14.9687595</v>
      </c>
      <c r="H712" s="20">
        <v>0.605665565714286</v>
      </c>
      <c r="I712" s="20">
        <f t="shared" si="30"/>
        <v>15.5744250657143</v>
      </c>
    </row>
    <row r="713" ht="15.75" spans="1:9">
      <c r="A713" s="83"/>
      <c r="B713" s="83"/>
      <c r="C713" s="101"/>
      <c r="D713" s="13" t="s">
        <v>187</v>
      </c>
      <c r="E713" s="71">
        <v>16480</v>
      </c>
      <c r="F713" s="19">
        <v>85</v>
      </c>
      <c r="G713" s="43">
        <f t="shared" si="31"/>
        <v>0.9744624</v>
      </c>
      <c r="H713" s="20">
        <v>0.0034</v>
      </c>
      <c r="I713" s="20">
        <f t="shared" si="30"/>
        <v>0.9778624</v>
      </c>
    </row>
    <row r="714" ht="15.75" spans="1:9">
      <c r="A714" s="83"/>
      <c r="B714" s="83"/>
      <c r="C714" s="99"/>
      <c r="D714" s="13" t="s">
        <v>160</v>
      </c>
      <c r="E714" s="100">
        <v>52310</v>
      </c>
      <c r="F714" s="19">
        <v>6150</v>
      </c>
      <c r="G714" s="43">
        <f t="shared" si="31"/>
        <v>3.0930903</v>
      </c>
      <c r="H714" s="20">
        <v>0.108015792678571</v>
      </c>
      <c r="I714" s="20">
        <f t="shared" si="30"/>
        <v>3.20110609267857</v>
      </c>
    </row>
    <row r="715" ht="15.75" spans="1:9">
      <c r="A715" s="83"/>
      <c r="B715" s="83"/>
      <c r="C715" s="98" t="s">
        <v>174</v>
      </c>
      <c r="D715" s="13" t="s">
        <v>174</v>
      </c>
      <c r="E715" s="100">
        <v>50343</v>
      </c>
      <c r="F715" s="19">
        <v>42644</v>
      </c>
      <c r="G715" s="43">
        <f t="shared" si="31"/>
        <v>2.97678159</v>
      </c>
      <c r="H715" s="20">
        <v>1.06851326660714</v>
      </c>
      <c r="I715" s="20">
        <f t="shared" si="30"/>
        <v>4.04529485660714</v>
      </c>
    </row>
    <row r="716" ht="15.75" spans="1:9">
      <c r="A716" s="83"/>
      <c r="B716" s="83"/>
      <c r="C716" s="101"/>
      <c r="D716" s="13" t="s">
        <v>221</v>
      </c>
      <c r="E716" s="100">
        <v>10067</v>
      </c>
      <c r="F716" s="19">
        <v>14756</v>
      </c>
      <c r="G716" s="43">
        <f t="shared" si="31"/>
        <v>0.59526171</v>
      </c>
      <c r="H716" s="20">
        <v>0.206410563392857</v>
      </c>
      <c r="I716" s="20">
        <f t="shared" si="30"/>
        <v>0.801672273392857</v>
      </c>
    </row>
    <row r="717" ht="15.75" spans="1:9">
      <c r="A717" s="83"/>
      <c r="B717" s="83"/>
      <c r="C717" s="101"/>
      <c r="D717" s="13" t="s">
        <v>202</v>
      </c>
      <c r="E717" s="100">
        <v>11674</v>
      </c>
      <c r="F717" s="19">
        <v>5089</v>
      </c>
      <c r="G717" s="43">
        <f t="shared" si="31"/>
        <v>0.69028362</v>
      </c>
      <c r="H717" s="20">
        <v>0.177943861428571</v>
      </c>
      <c r="I717" s="20">
        <f t="shared" si="30"/>
        <v>0.868227481428571</v>
      </c>
    </row>
    <row r="718" ht="15.75" spans="1:9">
      <c r="A718" s="83"/>
      <c r="B718" s="83"/>
      <c r="C718" s="101"/>
      <c r="D718" s="13" t="s">
        <v>222</v>
      </c>
      <c r="E718" s="100">
        <v>22200</v>
      </c>
      <c r="F718" s="19">
        <v>8528</v>
      </c>
      <c r="G718" s="43">
        <f t="shared" si="31"/>
        <v>1.312686</v>
      </c>
      <c r="H718" s="20">
        <v>0.179775170714286</v>
      </c>
      <c r="I718" s="20">
        <f t="shared" si="30"/>
        <v>1.49246117071429</v>
      </c>
    </row>
    <row r="719" ht="15.75" spans="1:9">
      <c r="A719" s="83"/>
      <c r="B719" s="83"/>
      <c r="C719" s="101"/>
      <c r="D719" s="13" t="s">
        <v>205</v>
      </c>
      <c r="E719" s="100">
        <v>20667</v>
      </c>
      <c r="F719" s="19">
        <v>10409</v>
      </c>
      <c r="G719" s="43">
        <f t="shared" si="31"/>
        <v>1.22203971</v>
      </c>
      <c r="H719" s="20">
        <v>0.13876688625</v>
      </c>
      <c r="I719" s="20">
        <f t="shared" si="30"/>
        <v>1.36080659625</v>
      </c>
    </row>
    <row r="720" ht="15.75" spans="1:9">
      <c r="A720" s="83"/>
      <c r="B720" s="83"/>
      <c r="C720" s="101"/>
      <c r="D720" s="13" t="s">
        <v>177</v>
      </c>
      <c r="E720" s="100">
        <v>18442</v>
      </c>
      <c r="F720" s="19">
        <v>10859</v>
      </c>
      <c r="G720" s="43">
        <f t="shared" si="31"/>
        <v>1.09047546</v>
      </c>
      <c r="H720" s="20">
        <v>0.2457691</v>
      </c>
      <c r="I720" s="20">
        <f t="shared" si="30"/>
        <v>1.33624456</v>
      </c>
    </row>
    <row r="721" ht="15.75" spans="1:9">
      <c r="A721" s="83"/>
      <c r="B721" s="83"/>
      <c r="C721" s="101"/>
      <c r="D721" s="13" t="s">
        <v>206</v>
      </c>
      <c r="E721" s="100">
        <v>7618</v>
      </c>
      <c r="F721" s="19">
        <v>2853</v>
      </c>
      <c r="G721" s="43">
        <f t="shared" si="31"/>
        <v>0.45045234</v>
      </c>
      <c r="H721" s="20">
        <v>0.03553202</v>
      </c>
      <c r="I721" s="20">
        <f t="shared" si="30"/>
        <v>0.48598436</v>
      </c>
    </row>
    <row r="722" ht="15.75" spans="1:9">
      <c r="A722" s="83"/>
      <c r="B722" s="83"/>
      <c r="C722" s="99"/>
      <c r="D722" s="13" t="s">
        <v>175</v>
      </c>
      <c r="E722" s="100">
        <v>8549</v>
      </c>
      <c r="F722" s="19">
        <v>3822</v>
      </c>
      <c r="G722" s="43">
        <f t="shared" si="31"/>
        <v>0.50550237</v>
      </c>
      <c r="H722" s="20">
        <v>0.0787417628571428</v>
      </c>
      <c r="I722" s="20">
        <f t="shared" si="30"/>
        <v>0.584244132857143</v>
      </c>
    </row>
    <row r="723" ht="15.75" spans="1:9">
      <c r="A723" s="83"/>
      <c r="B723" s="83"/>
      <c r="C723" s="98" t="s">
        <v>48</v>
      </c>
      <c r="D723" s="13" t="s">
        <v>48</v>
      </c>
      <c r="E723" s="71">
        <v>1260990</v>
      </c>
      <c r="F723" s="19">
        <v>13344</v>
      </c>
      <c r="G723" s="43">
        <f t="shared" si="31"/>
        <v>74.5623387</v>
      </c>
      <c r="H723" s="20">
        <v>0.218628117142857</v>
      </c>
      <c r="I723" s="20">
        <f t="shared" si="30"/>
        <v>74.7809668171429</v>
      </c>
    </row>
    <row r="724" ht="15.75" spans="1:9">
      <c r="A724" s="83"/>
      <c r="B724" s="83"/>
      <c r="C724" s="101"/>
      <c r="D724" s="13" t="s">
        <v>195</v>
      </c>
      <c r="E724" s="71">
        <v>21607</v>
      </c>
      <c r="F724" s="19">
        <v>1268</v>
      </c>
      <c r="G724" s="43">
        <f t="shared" si="31"/>
        <v>1.27762191</v>
      </c>
      <c r="H724" s="20">
        <v>0.0150332028571429</v>
      </c>
      <c r="I724" s="20">
        <f t="shared" si="30"/>
        <v>1.29265511285714</v>
      </c>
    </row>
    <row r="725" ht="15.75" spans="1:9">
      <c r="A725" s="83"/>
      <c r="B725" s="83"/>
      <c r="C725" s="101"/>
      <c r="D725" s="13" t="s">
        <v>194</v>
      </c>
      <c r="E725" s="71">
        <v>42785</v>
      </c>
      <c r="F725" s="19">
        <v>3302</v>
      </c>
      <c r="G725" s="43">
        <f t="shared" si="31"/>
        <v>2.52987705</v>
      </c>
      <c r="H725" s="20">
        <v>0.03670148</v>
      </c>
      <c r="I725" s="20">
        <f t="shared" si="30"/>
        <v>2.56657853</v>
      </c>
    </row>
    <row r="726" ht="15.75" spans="1:9">
      <c r="A726" s="83"/>
      <c r="B726" s="83"/>
      <c r="C726" s="101"/>
      <c r="D726" s="13" t="s">
        <v>149</v>
      </c>
      <c r="E726" s="71">
        <v>34826</v>
      </c>
      <c r="F726" s="19">
        <v>884</v>
      </c>
      <c r="G726" s="43">
        <f t="shared" si="31"/>
        <v>2.05926138</v>
      </c>
      <c r="H726" s="20">
        <v>0.00581351142857143</v>
      </c>
      <c r="I726" s="20">
        <f t="shared" si="30"/>
        <v>2.06507489142857</v>
      </c>
    </row>
    <row r="727" ht="15.75" spans="1:9">
      <c r="A727" s="83"/>
      <c r="B727" s="83"/>
      <c r="C727" s="101"/>
      <c r="D727" s="13" t="s">
        <v>199</v>
      </c>
      <c r="E727" s="71">
        <v>19296</v>
      </c>
      <c r="F727" s="19">
        <v>1737</v>
      </c>
      <c r="G727" s="43">
        <f t="shared" si="31"/>
        <v>1.14097248</v>
      </c>
      <c r="H727" s="20">
        <v>0.0114130285714286</v>
      </c>
      <c r="I727" s="20">
        <f t="shared" si="30"/>
        <v>1.15238550857143</v>
      </c>
    </row>
    <row r="728" ht="15.75" spans="1:9">
      <c r="A728" s="83"/>
      <c r="B728" s="83"/>
      <c r="C728" s="101"/>
      <c r="D728" s="13" t="s">
        <v>186</v>
      </c>
      <c r="E728" s="71">
        <v>48505</v>
      </c>
      <c r="F728" s="19">
        <v>16561</v>
      </c>
      <c r="G728" s="43">
        <f t="shared" si="31"/>
        <v>2.86810065</v>
      </c>
      <c r="H728" s="20">
        <v>0.355270142857143</v>
      </c>
      <c r="I728" s="20">
        <f t="shared" si="30"/>
        <v>3.22337079285714</v>
      </c>
    </row>
    <row r="729" ht="15.75" spans="1:9">
      <c r="A729" s="83"/>
      <c r="B729" s="83"/>
      <c r="C729" s="99"/>
      <c r="D729" s="13" t="s">
        <v>148</v>
      </c>
      <c r="E729" s="71">
        <v>30931</v>
      </c>
      <c r="F729" s="19">
        <v>982</v>
      </c>
      <c r="G729" s="43">
        <f t="shared" si="31"/>
        <v>1.82895003</v>
      </c>
      <c r="H729" s="20">
        <v>0.00645549428571429</v>
      </c>
      <c r="I729" s="20">
        <f t="shared" si="30"/>
        <v>1.83540552428571</v>
      </c>
    </row>
    <row r="730" ht="15.75" spans="1:9">
      <c r="A730" s="83"/>
      <c r="B730" s="83"/>
      <c r="C730" s="101" t="s">
        <v>37</v>
      </c>
      <c r="D730" s="13" t="s">
        <v>39</v>
      </c>
      <c r="E730" s="71">
        <v>57053</v>
      </c>
      <c r="F730" s="19">
        <v>1568</v>
      </c>
      <c r="G730" s="43">
        <f t="shared" si="31"/>
        <v>3.37354389</v>
      </c>
      <c r="H730" s="20">
        <v>0.00789913446428571</v>
      </c>
      <c r="I730" s="20">
        <f t="shared" si="30"/>
        <v>3.38144302446429</v>
      </c>
    </row>
    <row r="731" ht="15.75" spans="1:9">
      <c r="A731" s="83"/>
      <c r="B731" s="83"/>
      <c r="C731" s="98" t="s">
        <v>65</v>
      </c>
      <c r="D731" s="13" t="s">
        <v>193</v>
      </c>
      <c r="E731" s="100">
        <v>23365</v>
      </c>
      <c r="F731" s="19">
        <v>257190</v>
      </c>
      <c r="G731" s="43">
        <f t="shared" si="31"/>
        <v>1.38157245</v>
      </c>
      <c r="H731" s="20">
        <v>0.300033232857143</v>
      </c>
      <c r="I731" s="20">
        <f t="shared" si="30"/>
        <v>1.68160568285714</v>
      </c>
    </row>
    <row r="732" ht="15.75" spans="1:9">
      <c r="A732" s="83"/>
      <c r="B732" s="83"/>
      <c r="C732" s="101"/>
      <c r="D732" s="13" t="s">
        <v>189</v>
      </c>
      <c r="E732" s="100">
        <v>729305</v>
      </c>
      <c r="F732" s="19">
        <v>6494</v>
      </c>
      <c r="G732" s="43">
        <f t="shared" si="31"/>
        <v>43.12380465</v>
      </c>
      <c r="H732" s="20">
        <v>0.259477665714286</v>
      </c>
      <c r="I732" s="20">
        <f t="shared" si="30"/>
        <v>43.3832823157143</v>
      </c>
    </row>
    <row r="733" ht="15.75" spans="1:9">
      <c r="A733" s="83"/>
      <c r="B733" s="83"/>
      <c r="C733" s="101"/>
      <c r="D733" s="13" t="s">
        <v>223</v>
      </c>
      <c r="E733" s="100">
        <v>190326</v>
      </c>
      <c r="F733" s="19">
        <v>27335</v>
      </c>
      <c r="G733" s="43">
        <f t="shared" si="31"/>
        <v>11.25397638</v>
      </c>
      <c r="H733" s="20">
        <v>0.601833939107143</v>
      </c>
      <c r="I733" s="20">
        <f t="shared" si="30"/>
        <v>11.8558103191071</v>
      </c>
    </row>
    <row r="734" ht="15.75" spans="1:9">
      <c r="A734" s="83"/>
      <c r="B734" s="83"/>
      <c r="C734" s="101"/>
      <c r="D734" s="13" t="s">
        <v>224</v>
      </c>
      <c r="E734" s="100">
        <v>17496</v>
      </c>
      <c r="F734" s="19">
        <v>8066</v>
      </c>
      <c r="G734" s="43">
        <f t="shared" si="31"/>
        <v>1.03453848</v>
      </c>
      <c r="H734" s="20">
        <v>0.235157402857143</v>
      </c>
      <c r="I734" s="20">
        <f t="shared" si="30"/>
        <v>1.26969588285714</v>
      </c>
    </row>
    <row r="735" ht="15.75" spans="1:9">
      <c r="A735" s="83"/>
      <c r="B735" s="83"/>
      <c r="C735" s="101"/>
      <c r="D735" s="13" t="s">
        <v>225</v>
      </c>
      <c r="E735" s="100">
        <v>406528</v>
      </c>
      <c r="F735" s="19">
        <v>2104</v>
      </c>
      <c r="G735" s="43">
        <f t="shared" si="31"/>
        <v>24.03800064</v>
      </c>
      <c r="H735" s="20">
        <v>0.0561206271428571</v>
      </c>
      <c r="I735" s="20">
        <f t="shared" si="30"/>
        <v>24.0941212671429</v>
      </c>
    </row>
    <row r="736" ht="15.75" spans="1:9">
      <c r="A736" s="83"/>
      <c r="B736" s="83"/>
      <c r="C736" s="101"/>
      <c r="D736" s="13" t="s">
        <v>191</v>
      </c>
      <c r="E736" s="100">
        <v>41920</v>
      </c>
      <c r="F736" s="19">
        <v>52051</v>
      </c>
      <c r="G736" s="43">
        <f t="shared" si="31"/>
        <v>2.4787296</v>
      </c>
      <c r="H736" s="20">
        <v>0.0772585592857143</v>
      </c>
      <c r="I736" s="20">
        <f t="shared" si="30"/>
        <v>2.55598815928571</v>
      </c>
    </row>
    <row r="737" ht="15.75" spans="1:9">
      <c r="A737" s="83"/>
      <c r="B737" s="83"/>
      <c r="C737" s="101"/>
      <c r="D737" s="13" t="s">
        <v>226</v>
      </c>
      <c r="E737" s="100">
        <v>75096</v>
      </c>
      <c r="F737" s="19">
        <v>3548</v>
      </c>
      <c r="G737" s="43">
        <f t="shared" si="31"/>
        <v>4.44042648</v>
      </c>
      <c r="H737" s="20">
        <v>0.129414712857143</v>
      </c>
      <c r="I737" s="20">
        <f t="shared" si="30"/>
        <v>4.56984119285714</v>
      </c>
    </row>
    <row r="738" ht="15.75" spans="1:9">
      <c r="A738" s="83"/>
      <c r="B738" s="83"/>
      <c r="C738" s="101"/>
      <c r="D738" s="13" t="s">
        <v>182</v>
      </c>
      <c r="E738" s="100">
        <v>12631</v>
      </c>
      <c r="F738" s="19">
        <v>1294</v>
      </c>
      <c r="G738" s="43">
        <f t="shared" si="31"/>
        <v>0.74687103</v>
      </c>
      <c r="H738" s="20">
        <v>0.0481497571428571</v>
      </c>
      <c r="I738" s="20">
        <f t="shared" si="30"/>
        <v>0.795020787142857</v>
      </c>
    </row>
    <row r="739" ht="15.75" spans="1:9">
      <c r="A739" s="83"/>
      <c r="B739" s="83"/>
      <c r="C739" s="101"/>
      <c r="D739" s="13" t="s">
        <v>214</v>
      </c>
      <c r="E739" s="100">
        <v>170895</v>
      </c>
      <c r="F739" s="19">
        <v>0</v>
      </c>
      <c r="G739" s="43">
        <f t="shared" si="31"/>
        <v>10.10502135</v>
      </c>
      <c r="H739" s="20">
        <v>0</v>
      </c>
      <c r="I739" s="20">
        <f t="shared" si="30"/>
        <v>10.10502135</v>
      </c>
    </row>
    <row r="740" ht="15.75" spans="1:9">
      <c r="A740" s="83"/>
      <c r="B740" s="83"/>
      <c r="C740" s="99"/>
      <c r="D740" s="13" t="s">
        <v>207</v>
      </c>
      <c r="E740" s="100">
        <v>8382</v>
      </c>
      <c r="F740" s="19">
        <v>1418</v>
      </c>
      <c r="G740" s="43">
        <f t="shared" si="31"/>
        <v>0.49562766</v>
      </c>
      <c r="H740" s="20">
        <v>0.0516771171428571</v>
      </c>
      <c r="I740" s="20">
        <f t="shared" ref="I740:I768" si="32">G740+H740</f>
        <v>0.547304777142857</v>
      </c>
    </row>
    <row r="741" ht="15.75" spans="1:9">
      <c r="A741" s="83"/>
      <c r="B741" s="83"/>
      <c r="C741" s="192" t="s">
        <v>227</v>
      </c>
      <c r="D741" s="13" t="s">
        <v>151</v>
      </c>
      <c r="E741" s="71">
        <v>22612</v>
      </c>
      <c r="F741" s="19">
        <v>3301</v>
      </c>
      <c r="G741" s="43">
        <f t="shared" si="31"/>
        <v>1.33704756</v>
      </c>
      <c r="H741" s="20">
        <v>0.0284754228571429</v>
      </c>
      <c r="I741" s="20">
        <f t="shared" si="32"/>
        <v>1.36552298285714</v>
      </c>
    </row>
    <row r="742" ht="15.75" spans="1:9">
      <c r="A742" s="83"/>
      <c r="B742" s="83"/>
      <c r="C742" s="100" t="s">
        <v>95</v>
      </c>
      <c r="D742" s="13" t="s">
        <v>57</v>
      </c>
      <c r="E742" s="71">
        <v>35357</v>
      </c>
      <c r="F742" s="19">
        <v>3623</v>
      </c>
      <c r="G742" s="43">
        <f t="shared" si="31"/>
        <v>2.09065941</v>
      </c>
      <c r="H742" s="20">
        <v>0.0115469575</v>
      </c>
      <c r="I742" s="20">
        <f t="shared" si="32"/>
        <v>2.1022063675</v>
      </c>
    </row>
    <row r="743" ht="15.75" spans="1:9">
      <c r="A743" s="83"/>
      <c r="B743" s="83"/>
      <c r="C743" s="98" t="s">
        <v>184</v>
      </c>
      <c r="D743" s="13" t="s">
        <v>164</v>
      </c>
      <c r="E743" s="100">
        <v>11340</v>
      </c>
      <c r="F743" s="19">
        <v>4898</v>
      </c>
      <c r="G743" s="43">
        <f t="shared" si="31"/>
        <v>0.6705342</v>
      </c>
      <c r="H743" s="20">
        <v>0.119401120357143</v>
      </c>
      <c r="I743" s="20">
        <f t="shared" si="32"/>
        <v>0.789935320357143</v>
      </c>
    </row>
    <row r="744" ht="15.75" spans="1:9">
      <c r="A744" s="83"/>
      <c r="B744" s="83"/>
      <c r="C744" s="101"/>
      <c r="D744" s="13" t="s">
        <v>163</v>
      </c>
      <c r="E744" s="100">
        <v>105981</v>
      </c>
      <c r="F744" s="19">
        <v>480</v>
      </c>
      <c r="G744" s="43">
        <f t="shared" si="31"/>
        <v>6.26665653</v>
      </c>
      <c r="H744" s="20">
        <v>0.00212997053571429</v>
      </c>
      <c r="I744" s="20">
        <f t="shared" si="32"/>
        <v>6.26878650053571</v>
      </c>
    </row>
    <row r="745" ht="15.75" spans="1:9">
      <c r="A745" s="83"/>
      <c r="B745" s="83"/>
      <c r="C745" s="101"/>
      <c r="D745" s="13" t="s">
        <v>158</v>
      </c>
      <c r="E745" s="100">
        <v>42564</v>
      </c>
      <c r="F745" s="19">
        <v>4713</v>
      </c>
      <c r="G745" s="43">
        <f t="shared" si="31"/>
        <v>2.51680932</v>
      </c>
      <c r="H745" s="20">
        <v>0.103166102857143</v>
      </c>
      <c r="I745" s="20">
        <f t="shared" si="32"/>
        <v>2.61997542285714</v>
      </c>
    </row>
    <row r="746" ht="15.75" spans="1:9">
      <c r="A746" s="83"/>
      <c r="B746" s="83"/>
      <c r="C746" s="101"/>
      <c r="D746" s="13" t="s">
        <v>208</v>
      </c>
      <c r="E746" s="100">
        <v>14055</v>
      </c>
      <c r="F746" s="19">
        <v>3513</v>
      </c>
      <c r="G746" s="43">
        <f t="shared" si="31"/>
        <v>0.83107215</v>
      </c>
      <c r="H746" s="20">
        <v>0.0965982146428572</v>
      </c>
      <c r="I746" s="20">
        <f t="shared" si="32"/>
        <v>0.927670364642857</v>
      </c>
    </row>
    <row r="747" ht="15.75" spans="1:9">
      <c r="A747" s="83"/>
      <c r="B747" s="83"/>
      <c r="C747" s="101"/>
      <c r="D747" s="13" t="s">
        <v>209</v>
      </c>
      <c r="E747" s="100">
        <v>9040</v>
      </c>
      <c r="F747" s="19">
        <v>7422</v>
      </c>
      <c r="G747" s="43">
        <f t="shared" si="31"/>
        <v>0.5345352</v>
      </c>
      <c r="H747" s="20">
        <v>0.105919545535714</v>
      </c>
      <c r="I747" s="20">
        <f t="shared" si="32"/>
        <v>0.640454745535714</v>
      </c>
    </row>
    <row r="748" ht="15.75" spans="1:9">
      <c r="A748" s="83"/>
      <c r="B748" s="83"/>
      <c r="C748" s="99"/>
      <c r="D748" s="13" t="s">
        <v>228</v>
      </c>
      <c r="E748" s="100">
        <v>13589</v>
      </c>
      <c r="F748" s="19">
        <v>11379</v>
      </c>
      <c r="G748" s="43">
        <f t="shared" si="31"/>
        <v>0.80351757</v>
      </c>
      <c r="H748" s="20">
        <v>0.139952367142857</v>
      </c>
      <c r="I748" s="20">
        <f t="shared" si="32"/>
        <v>0.943469937142857</v>
      </c>
    </row>
    <row r="749" ht="15.75" spans="1:9">
      <c r="A749" s="83"/>
      <c r="B749" s="83"/>
      <c r="C749" s="71" t="s">
        <v>58</v>
      </c>
      <c r="D749" s="13" t="s">
        <v>157</v>
      </c>
      <c r="E749" s="71">
        <v>8447</v>
      </c>
      <c r="F749" s="19">
        <v>181</v>
      </c>
      <c r="G749" s="43">
        <f t="shared" si="31"/>
        <v>0.49947111</v>
      </c>
      <c r="H749" s="20">
        <v>0.00330585714285714</v>
      </c>
      <c r="I749" s="20">
        <f t="shared" si="32"/>
        <v>0.502776967142857</v>
      </c>
    </row>
    <row r="750" ht="15.75" spans="1:9">
      <c r="A750" s="83"/>
      <c r="B750" s="83"/>
      <c r="C750" s="98" t="s">
        <v>153</v>
      </c>
      <c r="D750" s="13" t="s">
        <v>155</v>
      </c>
      <c r="E750" s="71">
        <v>36142</v>
      </c>
      <c r="F750" s="19">
        <v>1440</v>
      </c>
      <c r="G750" s="43">
        <f t="shared" si="31"/>
        <v>2.13707646</v>
      </c>
      <c r="H750" s="20">
        <v>0.0575219142857143</v>
      </c>
      <c r="I750" s="20">
        <f t="shared" si="32"/>
        <v>2.19459837428571</v>
      </c>
    </row>
    <row r="751" ht="15.75" spans="1:9">
      <c r="A751" s="83"/>
      <c r="B751" s="83"/>
      <c r="C751" s="101"/>
      <c r="D751" s="13" t="s">
        <v>153</v>
      </c>
      <c r="E751" s="71">
        <v>84861</v>
      </c>
      <c r="F751" s="19">
        <v>1628</v>
      </c>
      <c r="G751" s="43">
        <f t="shared" si="31"/>
        <v>5.01783093</v>
      </c>
      <c r="H751" s="20">
        <v>0.0644428357142857</v>
      </c>
      <c r="I751" s="20">
        <f t="shared" si="32"/>
        <v>5.08227376571429</v>
      </c>
    </row>
    <row r="752" ht="15.75" spans="1:9">
      <c r="A752" s="83"/>
      <c r="B752" s="83"/>
      <c r="C752" s="101"/>
      <c r="D752" s="13" t="s">
        <v>154</v>
      </c>
      <c r="E752" s="71">
        <v>11680</v>
      </c>
      <c r="F752" s="19">
        <v>6676</v>
      </c>
      <c r="G752" s="43">
        <f t="shared" si="31"/>
        <v>0.6906384</v>
      </c>
      <c r="H752" s="20">
        <v>0.166884361428571</v>
      </c>
      <c r="I752" s="20">
        <f t="shared" si="32"/>
        <v>0.857522761428571</v>
      </c>
    </row>
    <row r="753" ht="15.75" spans="1:9">
      <c r="A753" s="83"/>
      <c r="B753" s="83"/>
      <c r="C753" s="99"/>
      <c r="D753" s="13" t="s">
        <v>200</v>
      </c>
      <c r="E753" s="71">
        <v>16942</v>
      </c>
      <c r="F753" s="19">
        <v>6683</v>
      </c>
      <c r="G753" s="43">
        <f t="shared" si="31"/>
        <v>1.00178046</v>
      </c>
      <c r="H753" s="20">
        <v>0.211288175714286</v>
      </c>
      <c r="I753" s="20">
        <f t="shared" si="32"/>
        <v>1.21306863571429</v>
      </c>
    </row>
    <row r="754" ht="15.75" spans="1:9">
      <c r="A754" s="83"/>
      <c r="B754" s="83"/>
      <c r="C754" s="98" t="s">
        <v>27</v>
      </c>
      <c r="D754" s="13" t="s">
        <v>31</v>
      </c>
      <c r="E754" s="71">
        <v>24833</v>
      </c>
      <c r="F754" s="19">
        <v>187</v>
      </c>
      <c r="G754" s="43">
        <f t="shared" si="31"/>
        <v>1.46837529</v>
      </c>
      <c r="H754" s="20">
        <v>0.0075</v>
      </c>
      <c r="I754" s="20">
        <f t="shared" si="32"/>
        <v>1.47587529</v>
      </c>
    </row>
    <row r="755" ht="15.75" spans="1:9">
      <c r="A755" s="83"/>
      <c r="B755" s="83"/>
      <c r="C755" s="101"/>
      <c r="D755" s="13" t="s">
        <v>210</v>
      </c>
      <c r="E755" s="71">
        <v>235099</v>
      </c>
      <c r="F755" s="19">
        <v>2591</v>
      </c>
      <c r="G755" s="43">
        <f t="shared" si="31"/>
        <v>13.90140387</v>
      </c>
      <c r="H755" s="20">
        <v>0.000236467857142857</v>
      </c>
      <c r="I755" s="20">
        <f t="shared" si="32"/>
        <v>13.9016403378571</v>
      </c>
    </row>
    <row r="756" ht="15.75" spans="1:9">
      <c r="A756" s="83"/>
      <c r="B756" s="83"/>
      <c r="C756" s="101"/>
      <c r="D756" s="13" t="s">
        <v>211</v>
      </c>
      <c r="E756" s="71">
        <v>15394</v>
      </c>
      <c r="F756" s="19">
        <v>11641</v>
      </c>
      <c r="G756" s="43">
        <f t="shared" si="31"/>
        <v>0.91024722</v>
      </c>
      <c r="H756" s="20">
        <v>0.467</v>
      </c>
      <c r="I756" s="20">
        <f t="shared" si="32"/>
        <v>1.37724722</v>
      </c>
    </row>
    <row r="757" ht="15.75" spans="1:9">
      <c r="A757" s="83"/>
      <c r="B757" s="83"/>
      <c r="C757" s="101"/>
      <c r="D757" s="13" t="s">
        <v>212</v>
      </c>
      <c r="E757" s="71">
        <v>17145</v>
      </c>
      <c r="F757" s="19">
        <v>908</v>
      </c>
      <c r="G757" s="43">
        <f t="shared" si="31"/>
        <v>1.01378385</v>
      </c>
      <c r="H757" s="20">
        <v>0.0364</v>
      </c>
      <c r="I757" s="20">
        <f t="shared" si="32"/>
        <v>1.05018385</v>
      </c>
    </row>
    <row r="758" ht="15.75" spans="1:9">
      <c r="A758" s="83"/>
      <c r="B758" s="83"/>
      <c r="C758" s="101"/>
      <c r="D758" s="13" t="s">
        <v>229</v>
      </c>
      <c r="E758" s="71">
        <v>21130</v>
      </c>
      <c r="F758" s="19">
        <v>285</v>
      </c>
      <c r="G758" s="43">
        <f t="shared" si="31"/>
        <v>1.2494169</v>
      </c>
      <c r="H758" s="20">
        <v>0.00460004285714286</v>
      </c>
      <c r="I758" s="20">
        <f t="shared" si="32"/>
        <v>1.25401694285714</v>
      </c>
    </row>
    <row r="759" ht="15.75" spans="1:9">
      <c r="A759" s="83"/>
      <c r="B759" s="83"/>
      <c r="C759" s="101"/>
      <c r="D759" s="13" t="s">
        <v>27</v>
      </c>
      <c r="E759" s="71">
        <v>2613978</v>
      </c>
      <c r="F759" s="19">
        <v>28616</v>
      </c>
      <c r="G759" s="43">
        <f t="shared" si="31"/>
        <v>154.56451914</v>
      </c>
      <c r="H759" s="20">
        <v>1.1489324</v>
      </c>
      <c r="I759" s="20">
        <f t="shared" si="32"/>
        <v>155.71345154</v>
      </c>
    </row>
    <row r="760" ht="15.75" spans="1:9">
      <c r="A760" s="83"/>
      <c r="B760" s="83"/>
      <c r="C760" s="99"/>
      <c r="D760" s="13" t="s">
        <v>28</v>
      </c>
      <c r="E760" s="71">
        <v>86529</v>
      </c>
      <c r="F760" s="19">
        <v>4729</v>
      </c>
      <c r="G760" s="43">
        <f t="shared" si="31"/>
        <v>5.11645977</v>
      </c>
      <c r="H760" s="20">
        <v>0.132679898571429</v>
      </c>
      <c r="I760" s="20">
        <f t="shared" si="32"/>
        <v>5.24913966857143</v>
      </c>
    </row>
    <row r="761" ht="15.75" spans="1:9">
      <c r="A761" s="83"/>
      <c r="B761" s="83"/>
      <c r="C761" s="98" t="s">
        <v>162</v>
      </c>
      <c r="D761" s="13" t="s">
        <v>230</v>
      </c>
      <c r="E761" s="100">
        <v>11604</v>
      </c>
      <c r="F761" s="19">
        <v>8517</v>
      </c>
      <c r="G761" s="43">
        <f t="shared" si="31"/>
        <v>0.68614452</v>
      </c>
      <c r="H761" s="20">
        <v>0.0323601439285714</v>
      </c>
      <c r="I761" s="20">
        <f t="shared" si="32"/>
        <v>0.718504663928571</v>
      </c>
    </row>
    <row r="762" ht="15.75" spans="1:9">
      <c r="A762" s="83"/>
      <c r="B762" s="83"/>
      <c r="C762" s="101"/>
      <c r="D762" s="13" t="s">
        <v>231</v>
      </c>
      <c r="E762" s="100">
        <v>8214</v>
      </c>
      <c r="F762" s="19">
        <v>1891</v>
      </c>
      <c r="G762" s="43">
        <f t="shared" si="31"/>
        <v>0.48569382</v>
      </c>
      <c r="H762" s="20">
        <v>0.0332203185714286</v>
      </c>
      <c r="I762" s="20">
        <f t="shared" si="32"/>
        <v>0.518914138571429</v>
      </c>
    </row>
    <row r="763" ht="15.75" spans="1:9">
      <c r="A763" s="83"/>
      <c r="B763" s="83"/>
      <c r="C763" s="101"/>
      <c r="D763" s="13" t="s">
        <v>232</v>
      </c>
      <c r="E763" s="100">
        <v>7465</v>
      </c>
      <c r="F763" s="19">
        <v>281</v>
      </c>
      <c r="G763" s="43">
        <f t="shared" si="31"/>
        <v>0.44140545</v>
      </c>
      <c r="H763" s="20">
        <v>0.00362111285714286</v>
      </c>
      <c r="I763" s="20">
        <f t="shared" si="32"/>
        <v>0.445026562857143</v>
      </c>
    </row>
    <row r="764" ht="15.75" spans="1:9">
      <c r="A764" s="83"/>
      <c r="B764" s="83"/>
      <c r="C764" s="101"/>
      <c r="D764" s="13" t="s">
        <v>233</v>
      </c>
      <c r="E764" s="100">
        <v>34502</v>
      </c>
      <c r="F764" s="19">
        <v>5746</v>
      </c>
      <c r="G764" s="43">
        <f t="shared" si="31"/>
        <v>2.04010326</v>
      </c>
      <c r="H764" s="20">
        <v>0.113659670357143</v>
      </c>
      <c r="I764" s="20">
        <f t="shared" si="32"/>
        <v>2.15376293035714</v>
      </c>
    </row>
    <row r="765" ht="15.75" spans="1:9">
      <c r="A765" s="83"/>
      <c r="B765" s="83"/>
      <c r="C765" s="101"/>
      <c r="D765" s="13" t="s">
        <v>234</v>
      </c>
      <c r="E765" s="100">
        <v>38807</v>
      </c>
      <c r="F765" s="19">
        <v>2373</v>
      </c>
      <c r="G765" s="43">
        <f t="shared" si="31"/>
        <v>2.29465791</v>
      </c>
      <c r="H765" s="20">
        <v>0.0841691042857143</v>
      </c>
      <c r="I765" s="20">
        <f t="shared" si="32"/>
        <v>2.37882701428571</v>
      </c>
    </row>
    <row r="766" ht="15.75" spans="1:9">
      <c r="A766" s="83"/>
      <c r="B766" s="83"/>
      <c r="C766" s="101"/>
      <c r="D766" s="13" t="s">
        <v>197</v>
      </c>
      <c r="E766" s="100">
        <v>21002</v>
      </c>
      <c r="F766" s="19">
        <v>960</v>
      </c>
      <c r="G766" s="43">
        <f t="shared" si="31"/>
        <v>1.24184826</v>
      </c>
      <c r="H766" s="20">
        <v>0.0132073685714286</v>
      </c>
      <c r="I766" s="20">
        <f t="shared" si="32"/>
        <v>1.25505562857143</v>
      </c>
    </row>
    <row r="767" ht="15.75" spans="1:9">
      <c r="A767" s="83"/>
      <c r="B767" s="83"/>
      <c r="C767" s="101"/>
      <c r="D767" s="13" t="s">
        <v>235</v>
      </c>
      <c r="E767" s="100">
        <v>56611</v>
      </c>
      <c r="F767" s="19">
        <v>5014</v>
      </c>
      <c r="G767" s="43">
        <f t="shared" si="31"/>
        <v>3.34740843</v>
      </c>
      <c r="H767" s="20">
        <v>0.12912751</v>
      </c>
      <c r="I767" s="20">
        <f t="shared" si="32"/>
        <v>3.47653594</v>
      </c>
    </row>
    <row r="768" ht="15.75" spans="1:9">
      <c r="A768" s="84"/>
      <c r="B768" s="84"/>
      <c r="C768" s="99"/>
      <c r="D768" s="13" t="s">
        <v>236</v>
      </c>
      <c r="E768" s="100">
        <v>245742</v>
      </c>
      <c r="F768" s="19">
        <v>32064</v>
      </c>
      <c r="G768" s="43">
        <f t="shared" si="31"/>
        <v>14.53072446</v>
      </c>
      <c r="H768" s="20">
        <v>1.18947472285714</v>
      </c>
      <c r="I768" s="20">
        <f t="shared" si="32"/>
        <v>15.7201991828571</v>
      </c>
    </row>
    <row r="771" ht="43.95" customHeight="1" spans="1:9">
      <c r="A771" s="45" t="s">
        <v>108</v>
      </c>
      <c r="B771" s="7" t="s">
        <v>109</v>
      </c>
      <c r="C771" s="46"/>
      <c r="D771" s="46"/>
      <c r="E771" s="46"/>
      <c r="F771" s="46"/>
      <c r="G771" s="46"/>
      <c r="H771" s="46"/>
      <c r="I771" s="46"/>
    </row>
    <row r="772" ht="39" customHeight="1" spans="1:9">
      <c r="A772" s="46"/>
      <c r="B772" s="7" t="s">
        <v>110</v>
      </c>
      <c r="C772" s="47"/>
      <c r="D772" s="47"/>
      <c r="E772" s="47"/>
      <c r="F772" s="47"/>
      <c r="G772" s="47"/>
      <c r="H772" s="47"/>
      <c r="I772" s="47"/>
    </row>
    <row r="774" spans="2:2">
      <c r="B774" s="48" t="s">
        <v>111</v>
      </c>
    </row>
    <row r="775" s="2" customFormat="1" ht="15" customHeight="1" spans="2:2">
      <c r="B775" s="49" t="s">
        <v>112</v>
      </c>
    </row>
    <row r="776" s="2" customFormat="1" ht="15" customHeight="1" spans="2:2">
      <c r="B776" s="50" t="s">
        <v>113</v>
      </c>
    </row>
    <row r="777" s="2" customFormat="1" ht="15" customHeight="1" spans="2:2">
      <c r="B777" s="50" t="s">
        <v>114</v>
      </c>
    </row>
    <row r="778" s="2" customFormat="1" spans="2:2">
      <c r="B778" s="51"/>
    </row>
    <row r="779" s="2" customFormat="1" spans="2:2">
      <c r="B779" s="49" t="s">
        <v>115</v>
      </c>
    </row>
    <row r="780" s="2" customFormat="1" ht="16.5" customHeight="1" spans="2:2">
      <c r="B780" s="50" t="s">
        <v>116</v>
      </c>
    </row>
    <row r="781" s="2" customFormat="1" ht="16.5" customHeight="1" spans="2:2">
      <c r="B781" s="50" t="s">
        <v>117</v>
      </c>
    </row>
    <row r="782" spans="2:2">
      <c r="B782" s="55"/>
    </row>
    <row r="783" spans="2:2">
      <c r="B783" s="49" t="s">
        <v>118</v>
      </c>
    </row>
    <row r="784" spans="2:2">
      <c r="B784" s="56" t="s">
        <v>119</v>
      </c>
    </row>
    <row r="785" spans="2:2">
      <c r="B785" s="56" t="s">
        <v>120</v>
      </c>
    </row>
    <row r="786" spans="2:2">
      <c r="B786" s="56" t="s">
        <v>121</v>
      </c>
    </row>
    <row r="787" spans="2:2">
      <c r="B787" s="56" t="s">
        <v>122</v>
      </c>
    </row>
    <row r="788" spans="2:2">
      <c r="B788" s="49" t="s">
        <v>123</v>
      </c>
    </row>
    <row r="789" spans="2:2">
      <c r="B789" s="49" t="s">
        <v>124</v>
      </c>
    </row>
    <row r="790" spans="2:2">
      <c r="B790" s="56" t="s">
        <v>125</v>
      </c>
    </row>
    <row r="791" spans="2:2">
      <c r="B791" s="56" t="s">
        <v>126</v>
      </c>
    </row>
    <row r="792" spans="2:2">
      <c r="B792" s="56" t="s">
        <v>127</v>
      </c>
    </row>
    <row r="793" spans="2:2">
      <c r="B793" s="56" t="s">
        <v>128</v>
      </c>
    </row>
    <row r="794" spans="2:2">
      <c r="B794" s="56" t="s">
        <v>129</v>
      </c>
    </row>
    <row r="795" spans="2:2">
      <c r="B795" s="56"/>
    </row>
    <row r="796" spans="2:2">
      <c r="B796" s="49" t="s">
        <v>130</v>
      </c>
    </row>
    <row r="797" ht="15.75" spans="2:2">
      <c r="B797" s="57"/>
    </row>
    <row r="798" spans="2:2">
      <c r="B798" s="58" t="s">
        <v>131</v>
      </c>
    </row>
    <row r="799" spans="2:2">
      <c r="B799" s="58" t="s">
        <v>132</v>
      </c>
    </row>
    <row r="800" spans="2:2">
      <c r="B800" s="59" t="s">
        <v>133</v>
      </c>
    </row>
    <row r="801" spans="2:2">
      <c r="B801" s="60"/>
    </row>
    <row r="802" ht="39.6" customHeight="1" spans="2:9">
      <c r="B802" s="193" t="s">
        <v>237</v>
      </c>
      <c r="C802" s="193"/>
      <c r="D802" s="193"/>
      <c r="E802" s="193"/>
      <c r="F802" s="193"/>
      <c r="G802" s="193"/>
      <c r="H802" s="193"/>
      <c r="I802" s="193"/>
    </row>
    <row r="803" ht="30" customHeight="1" spans="2:9">
      <c r="B803" s="112" t="s">
        <v>134</v>
      </c>
      <c r="C803" s="112"/>
      <c r="D803" s="112"/>
      <c r="E803" s="112"/>
      <c r="F803" s="112"/>
      <c r="G803" s="112"/>
      <c r="H803" s="112"/>
      <c r="I803" s="112"/>
    </row>
  </sheetData>
  <mergeCells count="165">
    <mergeCell ref="A2:I2"/>
    <mergeCell ref="A3:I3"/>
    <mergeCell ref="A4:I4"/>
    <mergeCell ref="A5:I5"/>
    <mergeCell ref="C6:I6"/>
    <mergeCell ref="A7:I7"/>
    <mergeCell ref="A8:E8"/>
    <mergeCell ref="F8:I8"/>
    <mergeCell ref="G272:I272"/>
    <mergeCell ref="A529:I529"/>
    <mergeCell ref="F530:I530"/>
    <mergeCell ref="A638:D638"/>
    <mergeCell ref="G638:I638"/>
    <mergeCell ref="B771:I771"/>
    <mergeCell ref="B772:I772"/>
    <mergeCell ref="B802:I802"/>
    <mergeCell ref="B803:I803"/>
    <mergeCell ref="A11:A35"/>
    <mergeCell ref="A36:A62"/>
    <mergeCell ref="A63:A114"/>
    <mergeCell ref="A115:A166"/>
    <mergeCell ref="A167:A218"/>
    <mergeCell ref="A219:A270"/>
    <mergeCell ref="A275:A299"/>
    <mergeCell ref="A300:A325"/>
    <mergeCell ref="A326:A336"/>
    <mergeCell ref="A337:A399"/>
    <mergeCell ref="A400:A463"/>
    <mergeCell ref="A464:A527"/>
    <mergeCell ref="A533:A584"/>
    <mergeCell ref="A585:A636"/>
    <mergeCell ref="A641:A704"/>
    <mergeCell ref="A705:A768"/>
    <mergeCell ref="B11:B35"/>
    <mergeCell ref="B36:B62"/>
    <mergeCell ref="B63:B87"/>
    <mergeCell ref="B88:B114"/>
    <mergeCell ref="B115:B166"/>
    <mergeCell ref="B167:B218"/>
    <mergeCell ref="B219:B270"/>
    <mergeCell ref="B275:B299"/>
    <mergeCell ref="B300:B325"/>
    <mergeCell ref="B326:B336"/>
    <mergeCell ref="B337:B399"/>
    <mergeCell ref="B400:B463"/>
    <mergeCell ref="B464:B527"/>
    <mergeCell ref="B533:B584"/>
    <mergeCell ref="B585:B636"/>
    <mergeCell ref="B641:B704"/>
    <mergeCell ref="B705:B768"/>
    <mergeCell ref="C11:C25"/>
    <mergeCell ref="C26:C35"/>
    <mergeCell ref="C36:C47"/>
    <mergeCell ref="C48:C59"/>
    <mergeCell ref="C60:C62"/>
    <mergeCell ref="C63:C77"/>
    <mergeCell ref="C78:C87"/>
    <mergeCell ref="C88:C99"/>
    <mergeCell ref="C100:C111"/>
    <mergeCell ref="C112:C114"/>
    <mergeCell ref="C115:C123"/>
    <mergeCell ref="C124:C125"/>
    <mergeCell ref="C126:C137"/>
    <mergeCell ref="C138:C140"/>
    <mergeCell ref="C141:C144"/>
    <mergeCell ref="C145:C147"/>
    <mergeCell ref="C148:C149"/>
    <mergeCell ref="C150:C157"/>
    <mergeCell ref="C158:C166"/>
    <mergeCell ref="C167:C175"/>
    <mergeCell ref="C176:C177"/>
    <mergeCell ref="C178:C189"/>
    <mergeCell ref="C190:C192"/>
    <mergeCell ref="C193:C196"/>
    <mergeCell ref="C197:C199"/>
    <mergeCell ref="C200:C201"/>
    <mergeCell ref="C202:C209"/>
    <mergeCell ref="C210:C218"/>
    <mergeCell ref="C219:C223"/>
    <mergeCell ref="C224:C227"/>
    <mergeCell ref="C228:C230"/>
    <mergeCell ref="C231:C234"/>
    <mergeCell ref="C235:C236"/>
    <mergeCell ref="C237:C240"/>
    <mergeCell ref="C241:C242"/>
    <mergeCell ref="C243:C245"/>
    <mergeCell ref="C246:C249"/>
    <mergeCell ref="C250:C252"/>
    <mergeCell ref="C253:C254"/>
    <mergeCell ref="C255:C257"/>
    <mergeCell ref="C258:C261"/>
    <mergeCell ref="C262:C270"/>
    <mergeCell ref="C275:C281"/>
    <mergeCell ref="C282:C286"/>
    <mergeCell ref="C287:C291"/>
    <mergeCell ref="C292:C299"/>
    <mergeCell ref="C300:C309"/>
    <mergeCell ref="C310:C316"/>
    <mergeCell ref="C317:C325"/>
    <mergeCell ref="C326:C336"/>
    <mergeCell ref="C337:C348"/>
    <mergeCell ref="C350:C372"/>
    <mergeCell ref="C374:C379"/>
    <mergeCell ref="C381:C391"/>
    <mergeCell ref="C392:C399"/>
    <mergeCell ref="C400:C411"/>
    <mergeCell ref="C413:C436"/>
    <mergeCell ref="C438:C443"/>
    <mergeCell ref="C445:C455"/>
    <mergeCell ref="C456:C463"/>
    <mergeCell ref="C464:C469"/>
    <mergeCell ref="C470:C473"/>
    <mergeCell ref="C474:C481"/>
    <mergeCell ref="C482:C489"/>
    <mergeCell ref="C491:C500"/>
    <mergeCell ref="C502:C507"/>
    <mergeCell ref="C509:C512"/>
    <mergeCell ref="C513:C519"/>
    <mergeCell ref="C520:C527"/>
    <mergeCell ref="C533:C537"/>
    <mergeCell ref="C538:C541"/>
    <mergeCell ref="C542:C544"/>
    <mergeCell ref="C545:C548"/>
    <mergeCell ref="C549:C550"/>
    <mergeCell ref="C551:C554"/>
    <mergeCell ref="C555:C556"/>
    <mergeCell ref="C557:C559"/>
    <mergeCell ref="C560:C563"/>
    <mergeCell ref="C564:C566"/>
    <mergeCell ref="C567:C568"/>
    <mergeCell ref="C569:C571"/>
    <mergeCell ref="C572:C575"/>
    <mergeCell ref="C576:C584"/>
    <mergeCell ref="C585:C589"/>
    <mergeCell ref="C590:C593"/>
    <mergeCell ref="C594:C596"/>
    <mergeCell ref="C597:C600"/>
    <mergeCell ref="C601:C602"/>
    <mergeCell ref="C603:C606"/>
    <mergeCell ref="C607:C608"/>
    <mergeCell ref="C609:C611"/>
    <mergeCell ref="C612:C615"/>
    <mergeCell ref="C616:C618"/>
    <mergeCell ref="C619:C620"/>
    <mergeCell ref="C621:C623"/>
    <mergeCell ref="C624:C627"/>
    <mergeCell ref="C628:C636"/>
    <mergeCell ref="C641:C646"/>
    <mergeCell ref="C647:C650"/>
    <mergeCell ref="C651:C658"/>
    <mergeCell ref="C659:C665"/>
    <mergeCell ref="C667:C676"/>
    <mergeCell ref="C679:C684"/>
    <mergeCell ref="C686:C689"/>
    <mergeCell ref="C690:C696"/>
    <mergeCell ref="C697:C704"/>
    <mergeCell ref="C705:C710"/>
    <mergeCell ref="C711:C714"/>
    <mergeCell ref="C715:C722"/>
    <mergeCell ref="C723:C729"/>
    <mergeCell ref="C731:C740"/>
    <mergeCell ref="C743:C748"/>
    <mergeCell ref="C750:C753"/>
    <mergeCell ref="C754:C760"/>
    <mergeCell ref="C761:C768"/>
  </mergeCells>
  <pageMargins left="0.7" right="0.7" top="0.75" bottom="0.75" header="0.3" footer="0.3"/>
  <pageSetup paperSize="9" scale="97" fitToHeight="0" orientation="landscape"/>
  <headerFooter>
    <oddFooter>&amp;C&amp;"Times New Roman,Regular"&amp;10Page &amp;P</oddFooter>
  </headerFooter>
  <rowBreaks count="1" manualBreakCount="1">
    <brk id="262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J324"/>
  <sheetViews>
    <sheetView view="pageBreakPreview" zoomScale="90" zoomScaleNormal="90" topLeftCell="A301" workbookViewId="0">
      <selection activeCell="O8" sqref="O8"/>
    </sheetView>
  </sheetViews>
  <sheetFormatPr defaultColWidth="9" defaultRowHeight="14.25"/>
  <cols>
    <col min="1" max="1" width="7" customWidth="1"/>
    <col min="2" max="2" width="11.9" customWidth="1"/>
    <col min="3" max="3" width="11.2" style="159" customWidth="1"/>
    <col min="4" max="4" width="13.7" customWidth="1"/>
    <col min="5" max="6" width="12.6" customWidth="1"/>
    <col min="7" max="7" width="14.2" customWidth="1"/>
    <col min="8" max="8" width="9.5" customWidth="1"/>
    <col min="9" max="9" width="13.5" customWidth="1"/>
    <col min="10" max="13" width="8"/>
    <col min="14" max="14" width="8.2" customWidth="1"/>
    <col min="15" max="23" width="8"/>
    <col min="24" max="24" width="13.7" customWidth="1"/>
  </cols>
  <sheetData>
    <row r="1" ht="18" spans="1:9">
      <c r="A1" s="3" t="s">
        <v>238</v>
      </c>
      <c r="B1" s="3"/>
      <c r="C1" s="3"/>
      <c r="D1" s="3"/>
      <c r="E1" s="3"/>
      <c r="F1" s="3"/>
      <c r="G1" s="3"/>
      <c r="H1" s="3"/>
      <c r="I1" s="52" t="s">
        <v>1</v>
      </c>
    </row>
    <row r="2" ht="18" customHeight="1" spans="1:9">
      <c r="A2" s="160" t="s">
        <v>239</v>
      </c>
      <c r="B2" s="160"/>
      <c r="C2" s="160"/>
      <c r="D2" s="160"/>
      <c r="E2" s="160"/>
      <c r="F2" s="160"/>
      <c r="G2" s="160"/>
      <c r="H2" s="160"/>
      <c r="I2" s="160"/>
    </row>
    <row r="3" ht="15.75" customHeight="1" spans="1:9">
      <c r="A3" s="7" t="s">
        <v>240</v>
      </c>
      <c r="B3" s="7"/>
      <c r="C3" s="7"/>
      <c r="D3" s="7"/>
      <c r="E3" s="7"/>
      <c r="F3" s="7"/>
      <c r="G3" s="7"/>
      <c r="H3" s="7"/>
      <c r="I3" s="7"/>
    </row>
    <row r="4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ht="15.75" spans="1:9">
      <c r="A5" s="5" t="s">
        <v>241</v>
      </c>
      <c r="B5" s="5"/>
      <c r="C5" s="5"/>
      <c r="D5" s="5"/>
      <c r="E5" s="5"/>
      <c r="F5" s="5"/>
      <c r="G5" s="5"/>
      <c r="H5" s="5"/>
      <c r="I5" s="5"/>
    </row>
    <row r="6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customHeight="1" spans="1:9">
      <c r="A7" s="7" t="s">
        <v>7</v>
      </c>
      <c r="B7" s="7"/>
      <c r="C7" s="7"/>
      <c r="D7" s="7"/>
      <c r="E7" s="7"/>
      <c r="G7" s="161" t="s">
        <v>8</v>
      </c>
      <c r="H7" s="161"/>
      <c r="I7" s="161"/>
    </row>
    <row r="8" ht="49.95" customHeight="1" spans="1:9">
      <c r="A8" s="147" t="s">
        <v>103</v>
      </c>
      <c r="B8" s="91" t="s">
        <v>10</v>
      </c>
      <c r="C8" s="147" t="s">
        <v>11</v>
      </c>
      <c r="D8" s="91" t="s">
        <v>12</v>
      </c>
      <c r="E8" s="91" t="s">
        <v>13</v>
      </c>
      <c r="F8" s="91" t="s">
        <v>14</v>
      </c>
      <c r="G8" s="91" t="s">
        <v>15</v>
      </c>
      <c r="H8" s="91" t="s">
        <v>16</v>
      </c>
      <c r="I8" s="91" t="s">
        <v>17</v>
      </c>
    </row>
    <row r="9" ht="15" spans="1:9">
      <c r="A9" s="147" t="s">
        <v>18</v>
      </c>
      <c r="B9" s="91" t="s">
        <v>19</v>
      </c>
      <c r="C9" s="147" t="s">
        <v>20</v>
      </c>
      <c r="D9" s="91" t="s">
        <v>21</v>
      </c>
      <c r="E9" s="91" t="s">
        <v>22</v>
      </c>
      <c r="F9" s="91" t="s">
        <v>23</v>
      </c>
      <c r="G9" s="91" t="s">
        <v>24</v>
      </c>
      <c r="H9" s="91" t="s">
        <v>25</v>
      </c>
      <c r="I9" s="91" t="s">
        <v>26</v>
      </c>
    </row>
    <row r="10" ht="15.75" spans="1:9">
      <c r="A10" s="71">
        <v>1</v>
      </c>
      <c r="B10" s="71">
        <v>1981</v>
      </c>
      <c r="C10" s="9" t="s">
        <v>48</v>
      </c>
      <c r="D10" s="149" t="s">
        <v>151</v>
      </c>
      <c r="E10" s="162">
        <v>13147</v>
      </c>
      <c r="F10" s="10" t="s">
        <v>29</v>
      </c>
      <c r="G10" s="16">
        <f>E10*(65.19*365)/POWER(10,9)</f>
        <v>0.31282431945</v>
      </c>
      <c r="H10" s="10" t="s">
        <v>29</v>
      </c>
      <c r="I10" s="165">
        <f>G10</f>
        <v>0.31282431945</v>
      </c>
    </row>
    <row r="11" ht="15.75" spans="1:9">
      <c r="A11" s="71"/>
      <c r="B11" s="71"/>
      <c r="C11" s="9"/>
      <c r="D11" s="149" t="s">
        <v>152</v>
      </c>
      <c r="E11" s="163">
        <v>29132.3261519623</v>
      </c>
      <c r="F11" s="10" t="s">
        <v>29</v>
      </c>
      <c r="G11" s="16">
        <f t="shared" ref="G11:G20" si="0">E11*(65.19*365)/POWER(10,9)</f>
        <v>0.693184764773944</v>
      </c>
      <c r="H11" s="10" t="s">
        <v>29</v>
      </c>
      <c r="I11" s="165">
        <f t="shared" ref="I11:I55" si="1">G11</f>
        <v>0.693184764773944</v>
      </c>
    </row>
    <row r="12" ht="15.75" spans="1:9">
      <c r="A12" s="71"/>
      <c r="B12" s="71"/>
      <c r="C12" s="9"/>
      <c r="D12" s="149" t="s">
        <v>242</v>
      </c>
      <c r="E12" s="163">
        <v>43809.4303853628</v>
      </c>
      <c r="F12" s="10" t="s">
        <v>29</v>
      </c>
      <c r="G12" s="16">
        <f t="shared" si="0"/>
        <v>1.04241691988996</v>
      </c>
      <c r="H12" s="10" t="s">
        <v>29</v>
      </c>
      <c r="I12" s="165">
        <f t="shared" si="1"/>
        <v>1.04241691988996</v>
      </c>
    </row>
    <row r="13" ht="15.75" spans="1:9">
      <c r="A13" s="71"/>
      <c r="B13" s="71"/>
      <c r="C13" s="9"/>
      <c r="D13" s="149" t="s">
        <v>243</v>
      </c>
      <c r="E13" s="163">
        <v>14855.6323953656</v>
      </c>
      <c r="F13" s="10" t="s">
        <v>29</v>
      </c>
      <c r="G13" s="16">
        <f t="shared" si="0"/>
        <v>0.353480116686667</v>
      </c>
      <c r="H13" s="10" t="s">
        <v>29</v>
      </c>
      <c r="I13" s="165">
        <f t="shared" si="1"/>
        <v>0.353480116686667</v>
      </c>
    </row>
    <row r="14" ht="15.75" spans="1:9">
      <c r="A14" s="71"/>
      <c r="B14" s="71"/>
      <c r="C14" s="9"/>
      <c r="D14" s="149" t="s">
        <v>50</v>
      </c>
      <c r="E14" s="163">
        <v>42759.0476959969</v>
      </c>
      <c r="F14" s="10" t="s">
        <v>29</v>
      </c>
      <c r="G14" s="16">
        <f t="shared" si="0"/>
        <v>1.01742374654524</v>
      </c>
      <c r="H14" s="10" t="s">
        <v>29</v>
      </c>
      <c r="I14" s="165">
        <f t="shared" si="1"/>
        <v>1.01742374654524</v>
      </c>
    </row>
    <row r="15" ht="15.75" spans="1:9">
      <c r="A15" s="71"/>
      <c r="B15" s="71"/>
      <c r="C15" s="9"/>
      <c r="D15" s="149" t="s">
        <v>77</v>
      </c>
      <c r="E15" s="163">
        <v>63617.4619348757</v>
      </c>
      <c r="F15" s="10" t="s">
        <v>29</v>
      </c>
      <c r="G15" s="16">
        <f t="shared" si="0"/>
        <v>1.51373615539011</v>
      </c>
      <c r="H15" s="10" t="s">
        <v>29</v>
      </c>
      <c r="I15" s="165">
        <f t="shared" si="1"/>
        <v>1.51373615539011</v>
      </c>
    </row>
    <row r="16" ht="15.75" spans="1:9">
      <c r="A16" s="71"/>
      <c r="B16" s="71"/>
      <c r="C16" s="9"/>
      <c r="D16" s="149" t="s">
        <v>57</v>
      </c>
      <c r="E16" s="163">
        <v>16</v>
      </c>
      <c r="F16" s="10" t="s">
        <v>29</v>
      </c>
      <c r="G16" s="16">
        <f t="shared" si="0"/>
        <v>0.0003807096</v>
      </c>
      <c r="H16" s="10" t="s">
        <v>29</v>
      </c>
      <c r="I16" s="165">
        <f t="shared" si="1"/>
        <v>0.0003807096</v>
      </c>
    </row>
    <row r="17" ht="15.75" spans="1:9">
      <c r="A17" s="71"/>
      <c r="B17" s="71"/>
      <c r="C17" s="9"/>
      <c r="D17" s="149" t="s">
        <v>59</v>
      </c>
      <c r="E17" s="162">
        <v>8681</v>
      </c>
      <c r="F17" s="10" t="s">
        <v>29</v>
      </c>
      <c r="G17" s="16">
        <f t="shared" si="0"/>
        <v>0.20655875235</v>
      </c>
      <c r="H17" s="10" t="s">
        <v>29</v>
      </c>
      <c r="I17" s="165">
        <f t="shared" si="1"/>
        <v>0.20655875235</v>
      </c>
    </row>
    <row r="18" ht="15.75" spans="1:9">
      <c r="A18" s="71"/>
      <c r="B18" s="71"/>
      <c r="C18" s="9"/>
      <c r="D18" s="149" t="s">
        <v>58</v>
      </c>
      <c r="E18" s="162">
        <v>107228</v>
      </c>
      <c r="F18" s="10" t="s">
        <v>29</v>
      </c>
      <c r="G18" s="16">
        <f t="shared" si="0"/>
        <v>2.5514205618</v>
      </c>
      <c r="H18" s="10" t="s">
        <v>29</v>
      </c>
      <c r="I18" s="165">
        <f t="shared" si="1"/>
        <v>2.5514205618</v>
      </c>
    </row>
    <row r="19" ht="15.75" spans="1:9">
      <c r="A19" s="71"/>
      <c r="B19" s="71"/>
      <c r="C19" s="9"/>
      <c r="D19" s="149" t="s">
        <v>156</v>
      </c>
      <c r="E19" s="162">
        <v>36066</v>
      </c>
      <c r="F19" s="10" t="s">
        <v>29</v>
      </c>
      <c r="G19" s="16">
        <f t="shared" si="0"/>
        <v>0.8581670271</v>
      </c>
      <c r="H19" s="10" t="s">
        <v>29</v>
      </c>
      <c r="I19" s="165">
        <f t="shared" si="1"/>
        <v>0.8581670271</v>
      </c>
    </row>
    <row r="20" ht="15.75" spans="1:9">
      <c r="A20" s="71"/>
      <c r="B20" s="71"/>
      <c r="C20" s="9"/>
      <c r="D20" s="149" t="s">
        <v>157</v>
      </c>
      <c r="E20" s="162">
        <v>40531</v>
      </c>
      <c r="F20" s="10" t="s">
        <v>29</v>
      </c>
      <c r="G20" s="16">
        <f t="shared" si="0"/>
        <v>0.96440879985</v>
      </c>
      <c r="H20" s="10" t="s">
        <v>29</v>
      </c>
      <c r="I20" s="165">
        <f t="shared" si="1"/>
        <v>0.96440879985</v>
      </c>
    </row>
    <row r="21" ht="15.75" spans="1:9">
      <c r="A21" s="71"/>
      <c r="B21" s="71"/>
      <c r="C21" s="9"/>
      <c r="D21" s="149" t="s">
        <v>244</v>
      </c>
      <c r="E21" s="162">
        <v>172140</v>
      </c>
      <c r="F21" s="10" t="s">
        <v>29</v>
      </c>
      <c r="G21" s="16">
        <f t="shared" ref="G21:G55" si="2">E21*(65.19*365)/POWER(10,9)</f>
        <v>4.095959409</v>
      </c>
      <c r="H21" s="10" t="s">
        <v>29</v>
      </c>
      <c r="I21" s="165">
        <f t="shared" si="1"/>
        <v>4.095959409</v>
      </c>
    </row>
    <row r="22" ht="15.75" spans="1:9">
      <c r="A22" s="71"/>
      <c r="B22" s="71"/>
      <c r="C22" s="9" t="s">
        <v>27</v>
      </c>
      <c r="D22" s="149" t="s">
        <v>35</v>
      </c>
      <c r="E22" s="162">
        <v>26</v>
      </c>
      <c r="F22" s="10" t="s">
        <v>29</v>
      </c>
      <c r="G22" s="16">
        <f t="shared" si="2"/>
        <v>0.0006186531</v>
      </c>
      <c r="H22" s="10" t="s">
        <v>29</v>
      </c>
      <c r="I22" s="165">
        <f t="shared" si="1"/>
        <v>0.0006186531</v>
      </c>
    </row>
    <row r="23" ht="16.5" customHeight="1" spans="1:9">
      <c r="A23" s="71"/>
      <c r="B23" s="71"/>
      <c r="C23" s="9" t="s">
        <v>245</v>
      </c>
      <c r="D23" s="149" t="s">
        <v>246</v>
      </c>
      <c r="E23" s="162">
        <v>25268</v>
      </c>
      <c r="F23" s="10" t="s">
        <v>29</v>
      </c>
      <c r="G23" s="16">
        <f t="shared" si="2"/>
        <v>0.6012356358</v>
      </c>
      <c r="H23" s="10" t="s">
        <v>29</v>
      </c>
      <c r="I23" s="165">
        <f t="shared" si="1"/>
        <v>0.6012356358</v>
      </c>
    </row>
    <row r="24" ht="16.5" customHeight="1" spans="1:9">
      <c r="A24" s="71"/>
      <c r="B24" s="71"/>
      <c r="C24" s="9"/>
      <c r="D24" s="149" t="s">
        <v>247</v>
      </c>
      <c r="E24" s="162">
        <v>16884</v>
      </c>
      <c r="F24" s="10" t="s">
        <v>29</v>
      </c>
      <c r="G24" s="16">
        <f t="shared" si="2"/>
        <v>0.4017438054</v>
      </c>
      <c r="H24" s="10" t="s">
        <v>29</v>
      </c>
      <c r="I24" s="165">
        <f t="shared" si="1"/>
        <v>0.4017438054</v>
      </c>
    </row>
    <row r="25" ht="16.5" customHeight="1" spans="1:9">
      <c r="A25" s="71"/>
      <c r="B25" s="71"/>
      <c r="C25" s="9"/>
      <c r="D25" s="149" t="s">
        <v>248</v>
      </c>
      <c r="E25" s="42">
        <v>23833</v>
      </c>
      <c r="F25" s="10" t="s">
        <v>29</v>
      </c>
      <c r="G25" s="16">
        <f t="shared" si="2"/>
        <v>0.56709074355</v>
      </c>
      <c r="H25" s="10" t="s">
        <v>29</v>
      </c>
      <c r="I25" s="165">
        <f t="shared" si="1"/>
        <v>0.56709074355</v>
      </c>
    </row>
    <row r="26" ht="16.5" customHeight="1" spans="1:9">
      <c r="A26" s="71"/>
      <c r="B26" s="71"/>
      <c r="C26" s="9"/>
      <c r="D26" s="149" t="s">
        <v>249</v>
      </c>
      <c r="E26" s="42">
        <v>40241</v>
      </c>
      <c r="F26" s="10" t="s">
        <v>29</v>
      </c>
      <c r="G26" s="16">
        <f t="shared" si="2"/>
        <v>0.95750843835</v>
      </c>
      <c r="H26" s="10" t="s">
        <v>29</v>
      </c>
      <c r="I26" s="165">
        <f t="shared" si="1"/>
        <v>0.95750843835</v>
      </c>
    </row>
    <row r="27" ht="16.5" customHeight="1" spans="1:9">
      <c r="A27" s="71"/>
      <c r="B27" s="71"/>
      <c r="C27" s="9"/>
      <c r="D27" s="149" t="s">
        <v>250</v>
      </c>
      <c r="E27" s="42">
        <v>1273</v>
      </c>
      <c r="F27" s="10" t="s">
        <v>29</v>
      </c>
      <c r="G27" s="16">
        <f t="shared" si="2"/>
        <v>0.03029020755</v>
      </c>
      <c r="H27" s="10" t="s">
        <v>29</v>
      </c>
      <c r="I27" s="165">
        <f t="shared" si="1"/>
        <v>0.03029020755</v>
      </c>
    </row>
    <row r="28" ht="16.5" customHeight="1" spans="1:9">
      <c r="A28" s="71"/>
      <c r="B28" s="71"/>
      <c r="C28" s="9"/>
      <c r="D28" s="149" t="s">
        <v>251</v>
      </c>
      <c r="E28" s="42">
        <v>52409</v>
      </c>
      <c r="F28" s="10" t="s">
        <v>29</v>
      </c>
      <c r="G28" s="16">
        <f t="shared" si="2"/>
        <v>1.24703808915</v>
      </c>
      <c r="H28" s="10" t="s">
        <v>29</v>
      </c>
      <c r="I28" s="165">
        <f t="shared" si="1"/>
        <v>1.24703808915</v>
      </c>
    </row>
    <row r="29" ht="16.5" customHeight="1" spans="1:9">
      <c r="A29" s="71"/>
      <c r="B29" s="71"/>
      <c r="C29" s="9"/>
      <c r="D29" s="149" t="s">
        <v>252</v>
      </c>
      <c r="E29" s="42">
        <v>3</v>
      </c>
      <c r="F29" s="10" t="s">
        <v>29</v>
      </c>
      <c r="G29" s="16">
        <f t="shared" si="2"/>
        <v>7.138305e-5</v>
      </c>
      <c r="H29" s="10" t="s">
        <v>29</v>
      </c>
      <c r="I29" s="165">
        <f t="shared" si="1"/>
        <v>7.138305e-5</v>
      </c>
    </row>
    <row r="30" ht="16.5" customHeight="1" spans="1:9">
      <c r="A30" s="71"/>
      <c r="B30" s="71"/>
      <c r="C30" s="9"/>
      <c r="D30" s="164" t="s">
        <v>253</v>
      </c>
      <c r="E30" s="42">
        <v>31532</v>
      </c>
      <c r="F30" s="10" t="s">
        <v>29</v>
      </c>
      <c r="G30" s="16">
        <f t="shared" si="2"/>
        <v>0.7502834442</v>
      </c>
      <c r="H30" s="10" t="s">
        <v>29</v>
      </c>
      <c r="I30" s="165">
        <f t="shared" si="1"/>
        <v>0.7502834442</v>
      </c>
    </row>
    <row r="31" ht="16.5" customHeight="1" spans="1:9">
      <c r="A31" s="71"/>
      <c r="B31" s="71"/>
      <c r="C31" s="9"/>
      <c r="D31" s="149" t="s">
        <v>254</v>
      </c>
      <c r="E31" s="42">
        <v>56243</v>
      </c>
      <c r="F31" s="10" t="s">
        <v>29</v>
      </c>
      <c r="G31" s="16">
        <f t="shared" si="2"/>
        <v>1.33826562705</v>
      </c>
      <c r="H31" s="10" t="s">
        <v>29</v>
      </c>
      <c r="I31" s="165">
        <f t="shared" si="1"/>
        <v>1.33826562705</v>
      </c>
    </row>
    <row r="32" ht="16.5" customHeight="1" spans="1:9">
      <c r="A32" s="71"/>
      <c r="B32" s="71"/>
      <c r="C32" s="9"/>
      <c r="D32" s="149" t="s">
        <v>255</v>
      </c>
      <c r="E32" s="42">
        <v>1107</v>
      </c>
      <c r="F32" s="10" t="s">
        <v>29</v>
      </c>
      <c r="G32" s="16">
        <f t="shared" si="2"/>
        <v>0.02634034545</v>
      </c>
      <c r="H32" s="10" t="s">
        <v>29</v>
      </c>
      <c r="I32" s="165">
        <f t="shared" si="1"/>
        <v>0.02634034545</v>
      </c>
    </row>
    <row r="33" ht="15.75" spans="1:9">
      <c r="A33" s="71">
        <v>2</v>
      </c>
      <c r="B33" s="71">
        <v>1991</v>
      </c>
      <c r="C33" s="9" t="s">
        <v>48</v>
      </c>
      <c r="D33" s="149" t="s">
        <v>151</v>
      </c>
      <c r="E33" s="42">
        <v>16012</v>
      </c>
      <c r="F33" s="10" t="s">
        <v>29</v>
      </c>
      <c r="G33" s="16">
        <f t="shared" si="2"/>
        <v>0.3809951322</v>
      </c>
      <c r="H33" s="10" t="s">
        <v>29</v>
      </c>
      <c r="I33" s="165">
        <f t="shared" si="1"/>
        <v>0.3809951322</v>
      </c>
    </row>
    <row r="34" ht="15.75" spans="1:9">
      <c r="A34" s="71"/>
      <c r="B34" s="71"/>
      <c r="C34" s="146"/>
      <c r="D34" s="149" t="s">
        <v>152</v>
      </c>
      <c r="E34" s="42">
        <v>35482</v>
      </c>
      <c r="F34" s="10" t="s">
        <v>29</v>
      </c>
      <c r="G34" s="16">
        <f t="shared" si="2"/>
        <v>0.8442711267</v>
      </c>
      <c r="H34" s="10" t="s">
        <v>29</v>
      </c>
      <c r="I34" s="165">
        <f t="shared" si="1"/>
        <v>0.8442711267</v>
      </c>
    </row>
    <row r="35" ht="15.75" spans="1:9">
      <c r="A35" s="71"/>
      <c r="B35" s="71"/>
      <c r="C35" s="146"/>
      <c r="D35" s="149" t="s">
        <v>242</v>
      </c>
      <c r="E35" s="42">
        <v>53358</v>
      </c>
      <c r="F35" s="10" t="s">
        <v>29</v>
      </c>
      <c r="G35" s="16">
        <f t="shared" si="2"/>
        <v>1.2696189273</v>
      </c>
      <c r="H35" s="10" t="s">
        <v>29</v>
      </c>
      <c r="I35" s="165">
        <f t="shared" si="1"/>
        <v>1.2696189273</v>
      </c>
    </row>
    <row r="36" ht="15.75" spans="1:9">
      <c r="A36" s="71"/>
      <c r="B36" s="71"/>
      <c r="C36" s="146"/>
      <c r="D36" s="149" t="s">
        <v>243</v>
      </c>
      <c r="E36" s="42">
        <v>19032</v>
      </c>
      <c r="F36" s="10" t="s">
        <v>29</v>
      </c>
      <c r="G36" s="16">
        <f t="shared" si="2"/>
        <v>0.4528540692</v>
      </c>
      <c r="H36" s="10" t="s">
        <v>29</v>
      </c>
      <c r="I36" s="165">
        <f t="shared" si="1"/>
        <v>0.4528540692</v>
      </c>
    </row>
    <row r="37" ht="15.75" spans="1:9">
      <c r="A37" s="71"/>
      <c r="B37" s="71"/>
      <c r="C37" s="146"/>
      <c r="D37" s="149" t="s">
        <v>50</v>
      </c>
      <c r="E37" s="42">
        <v>54781</v>
      </c>
      <c r="F37" s="10" t="s">
        <v>29</v>
      </c>
      <c r="G37" s="16">
        <f t="shared" si="2"/>
        <v>1.30347828735</v>
      </c>
      <c r="H37" s="10" t="s">
        <v>29</v>
      </c>
      <c r="I37" s="165">
        <f t="shared" si="1"/>
        <v>1.30347828735</v>
      </c>
    </row>
    <row r="38" ht="15.75" spans="1:9">
      <c r="A38" s="71"/>
      <c r="B38" s="71"/>
      <c r="C38" s="146"/>
      <c r="D38" s="149" t="s">
        <v>77</v>
      </c>
      <c r="E38" s="42">
        <v>81504</v>
      </c>
      <c r="F38" s="10" t="s">
        <v>29</v>
      </c>
      <c r="G38" s="16">
        <f t="shared" si="2"/>
        <v>1.9393347024</v>
      </c>
      <c r="H38" s="10" t="s">
        <v>29</v>
      </c>
      <c r="I38" s="165">
        <f t="shared" si="1"/>
        <v>1.9393347024</v>
      </c>
    </row>
    <row r="39" ht="15.75" spans="1:9">
      <c r="A39" s="71"/>
      <c r="B39" s="71"/>
      <c r="C39" s="146"/>
      <c r="D39" s="149" t="s">
        <v>57</v>
      </c>
      <c r="E39" s="42">
        <v>21</v>
      </c>
      <c r="F39" s="10" t="s">
        <v>29</v>
      </c>
      <c r="G39" s="16">
        <f t="shared" si="2"/>
        <v>0.00049968135</v>
      </c>
      <c r="H39" s="10" t="s">
        <v>29</v>
      </c>
      <c r="I39" s="165">
        <f t="shared" si="1"/>
        <v>0.00049968135</v>
      </c>
    </row>
    <row r="40" ht="15.75" spans="1:9">
      <c r="A40" s="71"/>
      <c r="B40" s="71"/>
      <c r="C40" s="146"/>
      <c r="D40" s="149" t="s">
        <v>59</v>
      </c>
      <c r="E40" s="42">
        <v>10899</v>
      </c>
      <c r="F40" s="10" t="s">
        <v>29</v>
      </c>
      <c r="G40" s="16">
        <f t="shared" si="2"/>
        <v>0.25933462065</v>
      </c>
      <c r="H40" s="10" t="s">
        <v>29</v>
      </c>
      <c r="I40" s="165">
        <f t="shared" si="1"/>
        <v>0.25933462065</v>
      </c>
    </row>
    <row r="41" ht="15.75" spans="1:9">
      <c r="A41" s="71"/>
      <c r="B41" s="71"/>
      <c r="C41" s="146"/>
      <c r="D41" s="149" t="s">
        <v>58</v>
      </c>
      <c r="E41" s="42">
        <v>134630</v>
      </c>
      <c r="F41" s="10" t="s">
        <v>29</v>
      </c>
      <c r="G41" s="16">
        <f t="shared" si="2"/>
        <v>3.2034333405</v>
      </c>
      <c r="H41" s="10" t="s">
        <v>29</v>
      </c>
      <c r="I41" s="165">
        <f t="shared" si="1"/>
        <v>3.2034333405</v>
      </c>
    </row>
    <row r="42" ht="15.75" spans="1:9">
      <c r="A42" s="71"/>
      <c r="B42" s="71"/>
      <c r="C42" s="146"/>
      <c r="D42" s="149" t="s">
        <v>156</v>
      </c>
      <c r="E42" s="42">
        <v>45283</v>
      </c>
      <c r="F42" s="10" t="s">
        <v>29</v>
      </c>
      <c r="G42" s="16">
        <f t="shared" si="2"/>
        <v>1.07747955105</v>
      </c>
      <c r="H42" s="10" t="s">
        <v>29</v>
      </c>
      <c r="I42" s="165">
        <f t="shared" si="1"/>
        <v>1.07747955105</v>
      </c>
    </row>
    <row r="43" ht="15.75" spans="1:9">
      <c r="A43" s="71"/>
      <c r="B43" s="71"/>
      <c r="C43" s="146"/>
      <c r="D43" s="149" t="s">
        <v>157</v>
      </c>
      <c r="E43" s="42">
        <v>50889</v>
      </c>
      <c r="F43" s="10" t="s">
        <v>29</v>
      </c>
      <c r="G43" s="16">
        <f t="shared" si="2"/>
        <v>1.21087067715</v>
      </c>
      <c r="H43" s="10" t="s">
        <v>29</v>
      </c>
      <c r="I43" s="165">
        <f t="shared" si="1"/>
        <v>1.21087067715</v>
      </c>
    </row>
    <row r="44" ht="15.75" spans="1:9">
      <c r="A44" s="71"/>
      <c r="B44" s="71"/>
      <c r="C44" s="146"/>
      <c r="D44" s="149" t="s">
        <v>244</v>
      </c>
      <c r="E44" s="42">
        <v>216130</v>
      </c>
      <c r="F44" s="10" t="s">
        <v>29</v>
      </c>
      <c r="G44" s="16">
        <f t="shared" si="2"/>
        <v>5.1426728655</v>
      </c>
      <c r="H44" s="10" t="s">
        <v>29</v>
      </c>
      <c r="I44" s="165">
        <f t="shared" si="1"/>
        <v>5.1426728655</v>
      </c>
    </row>
    <row r="45" ht="15.75" spans="1:9">
      <c r="A45" s="71"/>
      <c r="B45" s="71"/>
      <c r="C45" s="9" t="s">
        <v>27</v>
      </c>
      <c r="D45" s="149" t="s">
        <v>35</v>
      </c>
      <c r="E45" s="42">
        <v>33</v>
      </c>
      <c r="F45" s="10" t="s">
        <v>29</v>
      </c>
      <c r="G45" s="16">
        <f t="shared" si="2"/>
        <v>0.00078521355</v>
      </c>
      <c r="H45" s="10" t="s">
        <v>29</v>
      </c>
      <c r="I45" s="165">
        <f t="shared" si="1"/>
        <v>0.00078521355</v>
      </c>
    </row>
    <row r="46" ht="15.75" spans="1:9">
      <c r="A46" s="71"/>
      <c r="B46" s="71"/>
      <c r="C46" s="12" t="s">
        <v>245</v>
      </c>
      <c r="D46" s="149" t="s">
        <v>246</v>
      </c>
      <c r="E46" s="42">
        <v>17579</v>
      </c>
      <c r="F46" s="10" t="s">
        <v>29</v>
      </c>
      <c r="G46" s="16">
        <f t="shared" si="2"/>
        <v>0.41828087865</v>
      </c>
      <c r="H46" s="10" t="s">
        <v>29</v>
      </c>
      <c r="I46" s="165">
        <f t="shared" si="1"/>
        <v>0.41828087865</v>
      </c>
    </row>
    <row r="47" ht="15.75" spans="1:9">
      <c r="A47" s="71"/>
      <c r="B47" s="71"/>
      <c r="C47" s="17"/>
      <c r="D47" s="149" t="s">
        <v>247</v>
      </c>
      <c r="E47" s="42">
        <v>11746</v>
      </c>
      <c r="F47" s="10" t="s">
        <v>29</v>
      </c>
      <c r="G47" s="16">
        <f t="shared" si="2"/>
        <v>0.2794884351</v>
      </c>
      <c r="H47" s="10" t="s">
        <v>29</v>
      </c>
      <c r="I47" s="165">
        <f t="shared" si="1"/>
        <v>0.2794884351</v>
      </c>
    </row>
    <row r="48" ht="15.75" spans="1:9">
      <c r="A48" s="71"/>
      <c r="B48" s="71"/>
      <c r="C48" s="17"/>
      <c r="D48" s="149" t="s">
        <v>248</v>
      </c>
      <c r="E48" s="42">
        <v>16581</v>
      </c>
      <c r="F48" s="10" t="s">
        <v>29</v>
      </c>
      <c r="G48" s="16">
        <f t="shared" si="2"/>
        <v>0.39453411735</v>
      </c>
      <c r="H48" s="10" t="s">
        <v>29</v>
      </c>
      <c r="I48" s="165">
        <f t="shared" si="1"/>
        <v>0.39453411735</v>
      </c>
    </row>
    <row r="49" ht="15.75" spans="1:9">
      <c r="A49" s="71"/>
      <c r="B49" s="71"/>
      <c r="C49" s="17"/>
      <c r="D49" s="149" t="s">
        <v>249</v>
      </c>
      <c r="E49" s="42">
        <v>27996</v>
      </c>
      <c r="F49" s="10" t="s">
        <v>29</v>
      </c>
      <c r="G49" s="16">
        <f t="shared" si="2"/>
        <v>0.6661466226</v>
      </c>
      <c r="H49" s="10" t="s">
        <v>29</v>
      </c>
      <c r="I49" s="165">
        <f t="shared" si="1"/>
        <v>0.6661466226</v>
      </c>
    </row>
    <row r="50" ht="15.75" spans="1:9">
      <c r="A50" s="71"/>
      <c r="B50" s="71"/>
      <c r="C50" s="17"/>
      <c r="D50" s="149" t="s">
        <v>250</v>
      </c>
      <c r="E50" s="42">
        <v>1585</v>
      </c>
      <c r="F50" s="10" t="s">
        <v>29</v>
      </c>
      <c r="G50" s="16">
        <f t="shared" si="2"/>
        <v>0.03771404475</v>
      </c>
      <c r="H50" s="10" t="s">
        <v>29</v>
      </c>
      <c r="I50" s="165">
        <f t="shared" si="1"/>
        <v>0.03771404475</v>
      </c>
    </row>
    <row r="51" ht="15.75" spans="1:9">
      <c r="A51" s="71"/>
      <c r="B51" s="71"/>
      <c r="C51" s="17"/>
      <c r="D51" s="149" t="s">
        <v>252</v>
      </c>
      <c r="E51" s="42">
        <v>3</v>
      </c>
      <c r="F51" s="10" t="s">
        <v>29</v>
      </c>
      <c r="G51" s="16">
        <f t="shared" si="2"/>
        <v>7.138305e-5</v>
      </c>
      <c r="H51" s="10" t="s">
        <v>29</v>
      </c>
      <c r="I51" s="165">
        <f t="shared" si="1"/>
        <v>7.138305e-5</v>
      </c>
    </row>
    <row r="52" ht="15.75" spans="1:9">
      <c r="A52" s="71"/>
      <c r="B52" s="71"/>
      <c r="C52" s="17"/>
      <c r="D52" s="149" t="s">
        <v>251</v>
      </c>
      <c r="E52" s="42">
        <v>65280</v>
      </c>
      <c r="F52" s="10" t="s">
        <v>29</v>
      </c>
      <c r="G52" s="16">
        <f t="shared" si="2"/>
        <v>1.553295168</v>
      </c>
      <c r="H52" s="10" t="s">
        <v>29</v>
      </c>
      <c r="I52" s="165">
        <f t="shared" si="1"/>
        <v>1.553295168</v>
      </c>
    </row>
    <row r="53" ht="15.75" spans="1:9">
      <c r="A53" s="71"/>
      <c r="B53" s="71"/>
      <c r="C53" s="17"/>
      <c r="D53" s="164" t="s">
        <v>253</v>
      </c>
      <c r="E53" s="42">
        <v>39276</v>
      </c>
      <c r="F53" s="10" t="s">
        <v>29</v>
      </c>
      <c r="G53" s="16">
        <f t="shared" si="2"/>
        <v>0.9345468906</v>
      </c>
      <c r="H53" s="10" t="s">
        <v>29</v>
      </c>
      <c r="I53" s="165">
        <f t="shared" si="1"/>
        <v>0.9345468906</v>
      </c>
    </row>
    <row r="54" ht="15.75" spans="1:9">
      <c r="A54" s="71"/>
      <c r="B54" s="71"/>
      <c r="C54" s="17"/>
      <c r="D54" s="149" t="s">
        <v>254</v>
      </c>
      <c r="E54" s="42">
        <v>68920</v>
      </c>
      <c r="F54" s="10" t="s">
        <v>29</v>
      </c>
      <c r="G54" s="16">
        <f t="shared" si="2"/>
        <v>1.639906602</v>
      </c>
      <c r="H54" s="10" t="s">
        <v>29</v>
      </c>
      <c r="I54" s="165">
        <f t="shared" si="1"/>
        <v>1.639906602</v>
      </c>
    </row>
    <row r="55" ht="15.75" spans="1:9">
      <c r="A55" s="71"/>
      <c r="B55" s="71"/>
      <c r="C55" s="21"/>
      <c r="D55" s="149" t="s">
        <v>255</v>
      </c>
      <c r="E55" s="42">
        <v>1357</v>
      </c>
      <c r="F55" s="10" t="s">
        <v>29</v>
      </c>
      <c r="G55" s="16">
        <f t="shared" si="2"/>
        <v>0.03228893295</v>
      </c>
      <c r="H55" s="10" t="s">
        <v>29</v>
      </c>
      <c r="I55" s="165">
        <f t="shared" si="1"/>
        <v>0.03228893295</v>
      </c>
    </row>
    <row r="56" ht="15.75" spans="1:9">
      <c r="A56" s="71">
        <v>3</v>
      </c>
      <c r="B56" s="71">
        <v>2001</v>
      </c>
      <c r="C56" s="9" t="s">
        <v>48</v>
      </c>
      <c r="D56" s="149" t="s">
        <v>151</v>
      </c>
      <c r="E56" s="42">
        <v>18071</v>
      </c>
      <c r="F56" s="19">
        <v>10423</v>
      </c>
      <c r="G56" s="16">
        <f t="shared" ref="G56:G101" si="3">E56*(65.19*365)/POWER(10,9)</f>
        <v>0.42998769885</v>
      </c>
      <c r="H56" s="20">
        <v>0.207415758212594</v>
      </c>
      <c r="I56" s="165">
        <f t="shared" ref="I56:I119" si="4">G56+H56</f>
        <v>0.637403457062594</v>
      </c>
    </row>
    <row r="57" ht="15.75" spans="1:9">
      <c r="A57" s="71"/>
      <c r="B57" s="71"/>
      <c r="C57" s="9"/>
      <c r="D57" s="149" t="s">
        <v>242</v>
      </c>
      <c r="E57" s="42">
        <v>60217</v>
      </c>
      <c r="F57" s="19">
        <v>45966</v>
      </c>
      <c r="G57" s="16">
        <f t="shared" si="3"/>
        <v>1.43282437395</v>
      </c>
      <c r="H57" s="20">
        <v>1.05011438802062</v>
      </c>
      <c r="I57" s="165">
        <f t="shared" si="4"/>
        <v>2.48293876197062</v>
      </c>
    </row>
    <row r="58" ht="15.75" spans="1:9">
      <c r="A58" s="71"/>
      <c r="B58" s="71"/>
      <c r="C58" s="9"/>
      <c r="D58" s="149" t="s">
        <v>152</v>
      </c>
      <c r="E58" s="42">
        <v>40043</v>
      </c>
      <c r="F58" s="19">
        <v>36134</v>
      </c>
      <c r="G58" s="16">
        <f t="shared" si="3"/>
        <v>0.95279715705</v>
      </c>
      <c r="H58" s="20">
        <v>0.979324039769169</v>
      </c>
      <c r="I58" s="165">
        <f t="shared" si="4"/>
        <v>1.93212119681917</v>
      </c>
    </row>
    <row r="59" ht="15.75" customHeight="1" spans="1:9">
      <c r="A59" s="71"/>
      <c r="B59" s="71"/>
      <c r="C59" s="71" t="s">
        <v>95</v>
      </c>
      <c r="D59" s="149" t="s">
        <v>57</v>
      </c>
      <c r="E59" s="42">
        <v>24</v>
      </c>
      <c r="F59" s="19">
        <v>17</v>
      </c>
      <c r="G59" s="16">
        <f t="shared" si="3"/>
        <v>0.0005710644</v>
      </c>
      <c r="H59" s="20">
        <v>0.000501470881755205</v>
      </c>
      <c r="I59" s="165">
        <f t="shared" si="4"/>
        <v>0.00107253528175521</v>
      </c>
    </row>
    <row r="60" ht="15.75" spans="1:9">
      <c r="A60" s="71"/>
      <c r="B60" s="71"/>
      <c r="C60" s="71"/>
      <c r="D60" s="149" t="s">
        <v>77</v>
      </c>
      <c r="E60" s="42">
        <v>96345</v>
      </c>
      <c r="F60" s="19">
        <v>49321</v>
      </c>
      <c r="G60" s="16">
        <f t="shared" si="3"/>
        <v>2.29246665075</v>
      </c>
      <c r="H60" s="20">
        <v>1.33283616585935</v>
      </c>
      <c r="I60" s="165">
        <f t="shared" si="4"/>
        <v>3.62530281660935</v>
      </c>
    </row>
    <row r="61" ht="15.75" spans="1:9">
      <c r="A61" s="71"/>
      <c r="B61" s="71"/>
      <c r="C61" s="71"/>
      <c r="D61" s="149" t="s">
        <v>243</v>
      </c>
      <c r="E61" s="42">
        <v>22498</v>
      </c>
      <c r="F61" s="19">
        <v>19402</v>
      </c>
      <c r="G61" s="16">
        <f t="shared" si="3"/>
        <v>0.5353252863</v>
      </c>
      <c r="H61" s="20">
        <v>0.596450050186598</v>
      </c>
      <c r="I61" s="165">
        <f t="shared" si="4"/>
        <v>1.1317753364866</v>
      </c>
    </row>
    <row r="62" ht="15.75" spans="1:9">
      <c r="A62" s="71"/>
      <c r="B62" s="71"/>
      <c r="C62" s="71"/>
      <c r="D62" s="149" t="s">
        <v>50</v>
      </c>
      <c r="E62" s="42">
        <v>64756</v>
      </c>
      <c r="F62" s="19">
        <v>49398</v>
      </c>
      <c r="G62" s="16">
        <f t="shared" si="3"/>
        <v>1.5408269286</v>
      </c>
      <c r="H62" s="20">
        <v>1.37987386368264</v>
      </c>
      <c r="I62" s="165">
        <f t="shared" si="4"/>
        <v>2.92070079228264</v>
      </c>
    </row>
    <row r="63" ht="15.75" spans="1:9">
      <c r="A63" s="71"/>
      <c r="B63" s="71"/>
      <c r="C63" s="9" t="s">
        <v>58</v>
      </c>
      <c r="D63" s="149" t="s">
        <v>59</v>
      </c>
      <c r="E63" s="42">
        <v>10578</v>
      </c>
      <c r="F63" s="19">
        <v>27061</v>
      </c>
      <c r="G63" s="16">
        <f t="shared" si="3"/>
        <v>0.2516966343</v>
      </c>
      <c r="H63" s="20">
        <v>0.528328180713077</v>
      </c>
      <c r="I63" s="165">
        <f t="shared" si="4"/>
        <v>0.780024815013077</v>
      </c>
    </row>
    <row r="64" ht="15.75" spans="1:9">
      <c r="A64" s="71"/>
      <c r="B64" s="71"/>
      <c r="C64" s="9"/>
      <c r="D64" s="149" t="s">
        <v>156</v>
      </c>
      <c r="E64" s="42">
        <v>43951</v>
      </c>
      <c r="F64" s="19">
        <v>138750</v>
      </c>
      <c r="G64" s="16">
        <f t="shared" si="3"/>
        <v>1.04578547685</v>
      </c>
      <c r="H64" s="20">
        <v>2.66495639151049</v>
      </c>
      <c r="I64" s="165">
        <f t="shared" si="4"/>
        <v>3.71074186836049</v>
      </c>
    </row>
    <row r="65" ht="15.75" spans="1:9">
      <c r="A65" s="71"/>
      <c r="B65" s="71"/>
      <c r="C65" s="9"/>
      <c r="D65" s="149" t="s">
        <v>58</v>
      </c>
      <c r="E65" s="42">
        <v>130670</v>
      </c>
      <c r="F65" s="19">
        <v>84552</v>
      </c>
      <c r="G65" s="16">
        <f t="shared" si="3"/>
        <v>3.1092077145</v>
      </c>
      <c r="H65" s="20">
        <v>1.78249364455415</v>
      </c>
      <c r="I65" s="165">
        <f t="shared" si="4"/>
        <v>4.89170135905415</v>
      </c>
    </row>
    <row r="66" ht="15.75" spans="1:9">
      <c r="A66" s="71"/>
      <c r="B66" s="71"/>
      <c r="C66" s="9"/>
      <c r="D66" s="149" t="s">
        <v>157</v>
      </c>
      <c r="E66" s="42">
        <v>49392</v>
      </c>
      <c r="F66" s="19">
        <v>69012</v>
      </c>
      <c r="G66" s="16">
        <f t="shared" si="3"/>
        <v>1.1752505352</v>
      </c>
      <c r="H66" s="20">
        <v>1.28335905302804</v>
      </c>
      <c r="I66" s="165">
        <f t="shared" si="4"/>
        <v>2.45860958822804</v>
      </c>
    </row>
    <row r="67" ht="15.75" spans="1:9">
      <c r="A67" s="71"/>
      <c r="B67" s="71"/>
      <c r="C67" s="9"/>
      <c r="D67" s="149" t="s">
        <v>244</v>
      </c>
      <c r="E67" s="42">
        <v>209773</v>
      </c>
      <c r="F67" s="19">
        <v>200016</v>
      </c>
      <c r="G67" s="16">
        <f t="shared" si="3"/>
        <v>4.99141218255</v>
      </c>
      <c r="H67" s="20">
        <v>3.37865425923073</v>
      </c>
      <c r="I67" s="165">
        <f t="shared" si="4"/>
        <v>8.37006644178073</v>
      </c>
    </row>
    <row r="68" ht="15.75" spans="1:9">
      <c r="A68" s="71"/>
      <c r="B68" s="71"/>
      <c r="C68" s="9" t="s">
        <v>256</v>
      </c>
      <c r="D68" s="149" t="s">
        <v>248</v>
      </c>
      <c r="E68" s="42">
        <v>13458</v>
      </c>
      <c r="F68" s="19">
        <v>132324</v>
      </c>
      <c r="G68" s="16">
        <f t="shared" si="3"/>
        <v>0.3202243623</v>
      </c>
      <c r="H68" s="20">
        <v>2.53380376334457</v>
      </c>
      <c r="I68" s="165">
        <f t="shared" si="4"/>
        <v>2.85402812564457</v>
      </c>
    </row>
    <row r="69" ht="15.75" spans="1:9">
      <c r="A69" s="71"/>
      <c r="B69" s="71"/>
      <c r="C69" s="9"/>
      <c r="D69" s="149" t="s">
        <v>249</v>
      </c>
      <c r="E69" s="42">
        <v>22724</v>
      </c>
      <c r="F69" s="19">
        <v>167640</v>
      </c>
      <c r="G69" s="16">
        <f t="shared" si="3"/>
        <v>0.5407028094</v>
      </c>
      <c r="H69" s="20">
        <v>3.4407216588355</v>
      </c>
      <c r="I69" s="165">
        <f t="shared" si="4"/>
        <v>3.9814244682355</v>
      </c>
    </row>
    <row r="70" ht="15.75" spans="1:9">
      <c r="A70" s="71"/>
      <c r="B70" s="71"/>
      <c r="C70" s="9"/>
      <c r="D70" s="149" t="s">
        <v>246</v>
      </c>
      <c r="E70" s="42">
        <v>14269</v>
      </c>
      <c r="F70" s="19">
        <v>84420</v>
      </c>
      <c r="G70" s="16">
        <f t="shared" si="3"/>
        <v>0.33952158015</v>
      </c>
      <c r="H70" s="20">
        <v>1.65236273425422</v>
      </c>
      <c r="I70" s="165">
        <f t="shared" si="4"/>
        <v>1.99188431440422</v>
      </c>
    </row>
    <row r="71" ht="15.75" spans="1:9">
      <c r="A71" s="71"/>
      <c r="B71" s="71"/>
      <c r="C71" s="9"/>
      <c r="D71" s="149" t="s">
        <v>247</v>
      </c>
      <c r="E71" s="42">
        <v>9534</v>
      </c>
      <c r="F71" s="19">
        <v>24746</v>
      </c>
      <c r="G71" s="16">
        <f t="shared" si="3"/>
        <v>0.2268553329</v>
      </c>
      <c r="H71" s="20">
        <v>0.52740022193796</v>
      </c>
      <c r="I71" s="165">
        <f t="shared" si="4"/>
        <v>0.75425555483796</v>
      </c>
    </row>
    <row r="72" ht="15.75" spans="1:9">
      <c r="A72" s="71"/>
      <c r="B72" s="71"/>
      <c r="C72" s="9" t="s">
        <v>27</v>
      </c>
      <c r="D72" s="149" t="s">
        <v>35</v>
      </c>
      <c r="E72" s="42">
        <v>32</v>
      </c>
      <c r="F72" s="19">
        <v>37</v>
      </c>
      <c r="G72" s="16">
        <f t="shared" si="3"/>
        <v>0.0007614192</v>
      </c>
      <c r="H72" s="20">
        <v>0.0012114501847237</v>
      </c>
      <c r="I72" s="165">
        <f t="shared" si="4"/>
        <v>0.0019728693847237</v>
      </c>
    </row>
    <row r="73" ht="15.75" spans="1:9">
      <c r="A73" s="71"/>
      <c r="B73" s="71"/>
      <c r="C73" s="9" t="s">
        <v>245</v>
      </c>
      <c r="D73" s="149" t="s">
        <v>255</v>
      </c>
      <c r="E73" s="42">
        <v>1419</v>
      </c>
      <c r="F73" s="19">
        <v>2370</v>
      </c>
      <c r="G73" s="16">
        <f t="shared" si="3"/>
        <v>0.03376418265</v>
      </c>
      <c r="H73" s="20">
        <v>0.0396751286634491</v>
      </c>
      <c r="I73" s="165">
        <f t="shared" si="4"/>
        <v>0.0734393113134491</v>
      </c>
    </row>
    <row r="74" ht="15.75" spans="1:9">
      <c r="A74" s="71"/>
      <c r="B74" s="71"/>
      <c r="C74" s="9"/>
      <c r="D74" s="149" t="s">
        <v>252</v>
      </c>
      <c r="E74" s="42">
        <v>4</v>
      </c>
      <c r="F74" s="19">
        <v>3</v>
      </c>
      <c r="G74" s="166">
        <f t="shared" si="3"/>
        <v>9.51774e-5</v>
      </c>
      <c r="H74" s="85">
        <v>6.33977120690812e-5</v>
      </c>
      <c r="I74" s="168">
        <f t="shared" si="4"/>
        <v>0.000158575112069081</v>
      </c>
    </row>
    <row r="75" ht="15.75" spans="1:9">
      <c r="A75" s="71"/>
      <c r="B75" s="71"/>
      <c r="C75" s="9"/>
      <c r="D75" s="149" t="s">
        <v>251</v>
      </c>
      <c r="E75" s="42">
        <v>81194</v>
      </c>
      <c r="F75" s="19">
        <v>107875</v>
      </c>
      <c r="G75" s="16">
        <f t="shared" si="3"/>
        <v>1.9319584539</v>
      </c>
      <c r="H75" s="20">
        <v>1.66669781741621</v>
      </c>
      <c r="I75" s="165">
        <f t="shared" si="4"/>
        <v>3.59865627131621</v>
      </c>
    </row>
    <row r="76" ht="15.75" spans="1:9">
      <c r="A76" s="71"/>
      <c r="B76" s="71"/>
      <c r="C76" s="9"/>
      <c r="D76" s="164" t="s">
        <v>253</v>
      </c>
      <c r="E76" s="42">
        <v>48851</v>
      </c>
      <c r="F76" s="19">
        <v>118240</v>
      </c>
      <c r="G76" s="16">
        <f t="shared" si="3"/>
        <v>1.16237779185</v>
      </c>
      <c r="H76" s="20">
        <v>2.31515503463442</v>
      </c>
      <c r="I76" s="165">
        <f t="shared" si="4"/>
        <v>3.47753282648442</v>
      </c>
    </row>
    <row r="77" ht="15.75" spans="1:9">
      <c r="A77" s="71"/>
      <c r="B77" s="71"/>
      <c r="C77" s="9"/>
      <c r="D77" s="149" t="s">
        <v>250</v>
      </c>
      <c r="E77" s="42">
        <v>1972</v>
      </c>
      <c r="F77" s="19">
        <v>3691</v>
      </c>
      <c r="G77" s="16">
        <f t="shared" si="3"/>
        <v>0.0469224582</v>
      </c>
      <c r="H77" s="20">
        <v>0.0721178464702918</v>
      </c>
      <c r="I77" s="165">
        <f t="shared" si="4"/>
        <v>0.119040304670292</v>
      </c>
    </row>
    <row r="78" ht="15.75" spans="1:10">
      <c r="A78" s="71"/>
      <c r="B78" s="71"/>
      <c r="C78" s="9"/>
      <c r="D78" s="149" t="s">
        <v>254</v>
      </c>
      <c r="E78" s="42">
        <v>72087</v>
      </c>
      <c r="F78" s="19">
        <v>67392</v>
      </c>
      <c r="G78" s="16">
        <f t="shared" si="3"/>
        <v>1.71526330845</v>
      </c>
      <c r="H78" s="20">
        <v>1.64161350387922</v>
      </c>
      <c r="I78" s="165">
        <f t="shared" si="4"/>
        <v>3.35687681232922</v>
      </c>
      <c r="J78" s="53"/>
    </row>
    <row r="79" ht="15.75" spans="1:9">
      <c r="A79" s="71">
        <v>4</v>
      </c>
      <c r="B79" s="71">
        <v>2011</v>
      </c>
      <c r="C79" s="9" t="s">
        <v>48</v>
      </c>
      <c r="D79" s="149" t="s">
        <v>151</v>
      </c>
      <c r="E79" s="42">
        <v>23240</v>
      </c>
      <c r="F79" s="19">
        <v>11778</v>
      </c>
      <c r="G79" s="16">
        <f t="shared" si="3"/>
        <v>0.552980694</v>
      </c>
      <c r="H79" s="20">
        <v>0.244674309153273</v>
      </c>
      <c r="I79" s="165">
        <f t="shared" si="4"/>
        <v>0.797655003153273</v>
      </c>
    </row>
    <row r="80" ht="15.75" spans="1:9">
      <c r="A80" s="71"/>
      <c r="B80" s="71"/>
      <c r="C80" s="9"/>
      <c r="D80" s="149" t="s">
        <v>242</v>
      </c>
      <c r="E80" s="42">
        <v>77442</v>
      </c>
      <c r="F80" s="19">
        <v>53858</v>
      </c>
      <c r="G80" s="16">
        <f t="shared" si="3"/>
        <v>1.8426820527</v>
      </c>
      <c r="H80" s="20">
        <v>1.21761241186409</v>
      </c>
      <c r="I80" s="165">
        <f t="shared" si="4"/>
        <v>3.06029446456409</v>
      </c>
    </row>
    <row r="81" ht="15.75" spans="1:9">
      <c r="A81" s="71"/>
      <c r="B81" s="71"/>
      <c r="C81" s="9"/>
      <c r="D81" s="149" t="s">
        <v>152</v>
      </c>
      <c r="E81" s="42">
        <v>51497</v>
      </c>
      <c r="F81" s="19">
        <v>36047</v>
      </c>
      <c r="G81" s="16">
        <f t="shared" si="3"/>
        <v>1.22533764195</v>
      </c>
      <c r="H81" s="20">
        <v>0.771092939979244</v>
      </c>
      <c r="I81" s="165">
        <f t="shared" si="4"/>
        <v>1.99643058192924</v>
      </c>
    </row>
    <row r="82" ht="15.75" spans="1:9">
      <c r="A82" s="71"/>
      <c r="B82" s="71"/>
      <c r="C82" s="71" t="s">
        <v>95</v>
      </c>
      <c r="D82" s="149" t="s">
        <v>57</v>
      </c>
      <c r="E82" s="42">
        <v>29</v>
      </c>
      <c r="F82" s="19">
        <v>16</v>
      </c>
      <c r="G82" s="16">
        <f t="shared" si="3"/>
        <v>0.00069003615</v>
      </c>
      <c r="H82" s="20">
        <v>0.0005138628787775</v>
      </c>
      <c r="I82" s="165">
        <f t="shared" si="4"/>
        <v>0.0012038990287775</v>
      </c>
    </row>
    <row r="83" ht="15.75" spans="1:9">
      <c r="A83" s="71"/>
      <c r="B83" s="71"/>
      <c r="C83" s="71"/>
      <c r="D83" s="149" t="s">
        <v>77</v>
      </c>
      <c r="E83" s="42">
        <v>114637</v>
      </c>
      <c r="F83" s="19">
        <v>49208</v>
      </c>
      <c r="G83" s="16">
        <f t="shared" si="3"/>
        <v>2.72771290095</v>
      </c>
      <c r="H83" s="20">
        <v>1.28563461837174</v>
      </c>
      <c r="I83" s="165">
        <f t="shared" si="4"/>
        <v>4.01334751932174</v>
      </c>
    </row>
    <row r="84" ht="15.75" spans="1:9">
      <c r="A84" s="71"/>
      <c r="B84" s="71"/>
      <c r="C84" s="71"/>
      <c r="D84" s="149" t="s">
        <v>243</v>
      </c>
      <c r="E84" s="42">
        <v>26769</v>
      </c>
      <c r="F84" s="19">
        <v>25921</v>
      </c>
      <c r="G84" s="16">
        <f t="shared" si="3"/>
        <v>0.63695095515</v>
      </c>
      <c r="H84" s="20">
        <v>0.667964699592075</v>
      </c>
      <c r="I84" s="165">
        <f t="shared" si="4"/>
        <v>1.30491565474208</v>
      </c>
    </row>
    <row r="85" ht="15.75" spans="1:9">
      <c r="A85" s="71"/>
      <c r="B85" s="71"/>
      <c r="C85" s="71"/>
      <c r="D85" s="149" t="s">
        <v>50</v>
      </c>
      <c r="E85" s="42">
        <v>77051</v>
      </c>
      <c r="F85" s="19">
        <v>35182</v>
      </c>
      <c r="G85" s="16">
        <f t="shared" si="3"/>
        <v>1.83337846185</v>
      </c>
      <c r="H85" s="20">
        <v>1.09376706048316</v>
      </c>
      <c r="I85" s="165">
        <f t="shared" si="4"/>
        <v>2.92714552233316</v>
      </c>
    </row>
    <row r="86" ht="15.75" spans="1:9">
      <c r="A86" s="71"/>
      <c r="B86" s="71"/>
      <c r="C86" s="9" t="s">
        <v>58</v>
      </c>
      <c r="D86" s="149" t="s">
        <v>59</v>
      </c>
      <c r="E86" s="42">
        <v>12473</v>
      </c>
      <c r="F86" s="19">
        <v>15733</v>
      </c>
      <c r="G86" s="16">
        <f t="shared" si="3"/>
        <v>0.29678692755</v>
      </c>
      <c r="H86" s="20">
        <v>0.379306796130173</v>
      </c>
      <c r="I86" s="165">
        <f t="shared" si="4"/>
        <v>0.676093723680173</v>
      </c>
    </row>
    <row r="87" ht="15.75" spans="1:9">
      <c r="A87" s="71"/>
      <c r="B87" s="71"/>
      <c r="C87" s="9"/>
      <c r="D87" s="149" t="s">
        <v>156</v>
      </c>
      <c r="E87" s="42">
        <v>51823</v>
      </c>
      <c r="F87" s="19">
        <v>69782</v>
      </c>
      <c r="G87" s="16">
        <f t="shared" si="3"/>
        <v>1.23309460005</v>
      </c>
      <c r="H87" s="20">
        <v>1.68839479929022</v>
      </c>
      <c r="I87" s="165">
        <f t="shared" si="4"/>
        <v>2.92148939934022</v>
      </c>
    </row>
    <row r="88" ht="15.75" spans="1:9">
      <c r="A88" s="71"/>
      <c r="B88" s="71"/>
      <c r="C88" s="9"/>
      <c r="D88" s="149" t="s">
        <v>58</v>
      </c>
      <c r="E88" s="42">
        <v>154072</v>
      </c>
      <c r="F88" s="19">
        <v>118435</v>
      </c>
      <c r="G88" s="16">
        <f t="shared" si="3"/>
        <v>3.6660430932</v>
      </c>
      <c r="H88" s="20">
        <v>1.91441335116078</v>
      </c>
      <c r="I88" s="165">
        <f t="shared" si="4"/>
        <v>5.58045644436078</v>
      </c>
    </row>
    <row r="89" ht="15.75" spans="1:9">
      <c r="A89" s="71"/>
      <c r="B89" s="71"/>
      <c r="C89" s="9"/>
      <c r="D89" s="149" t="s">
        <v>157</v>
      </c>
      <c r="E89" s="42">
        <v>58238</v>
      </c>
      <c r="F89" s="19">
        <v>61468</v>
      </c>
      <c r="G89" s="16">
        <f t="shared" si="3"/>
        <v>1.3857353553</v>
      </c>
      <c r="H89" s="20">
        <v>1.40319570486274</v>
      </c>
      <c r="I89" s="165">
        <f t="shared" si="4"/>
        <v>2.78893106016274</v>
      </c>
    </row>
    <row r="90" ht="15.75" spans="1:9">
      <c r="A90" s="71"/>
      <c r="B90" s="71"/>
      <c r="C90" s="9"/>
      <c r="D90" s="149" t="s">
        <v>244</v>
      </c>
      <c r="E90" s="42">
        <v>247342</v>
      </c>
      <c r="F90" s="19">
        <v>269762</v>
      </c>
      <c r="G90" s="16">
        <f t="shared" si="3"/>
        <v>5.8853421177</v>
      </c>
      <c r="H90" s="20">
        <v>5.37581229329167</v>
      </c>
      <c r="I90" s="165">
        <f t="shared" si="4"/>
        <v>11.2611544109917</v>
      </c>
    </row>
    <row r="91" ht="15.75" spans="1:9">
      <c r="A91" s="71"/>
      <c r="B91" s="71"/>
      <c r="C91" s="9" t="s">
        <v>256</v>
      </c>
      <c r="D91" s="149" t="s">
        <v>248</v>
      </c>
      <c r="E91" s="42">
        <v>21486</v>
      </c>
      <c r="F91" s="19">
        <v>114606</v>
      </c>
      <c r="G91" s="16">
        <f t="shared" si="3"/>
        <v>0.5112454041</v>
      </c>
      <c r="H91" s="20">
        <v>2.39466922594691</v>
      </c>
      <c r="I91" s="165">
        <f t="shared" si="4"/>
        <v>2.90591463004691</v>
      </c>
    </row>
    <row r="92" ht="15.75" spans="1:9">
      <c r="A92" s="71"/>
      <c r="B92" s="71"/>
      <c r="C92" s="9"/>
      <c r="D92" s="149" t="s">
        <v>249</v>
      </c>
      <c r="E92" s="42">
        <v>36278</v>
      </c>
      <c r="F92" s="19">
        <v>135842</v>
      </c>
      <c r="G92" s="16">
        <f t="shared" si="3"/>
        <v>0.8632114293</v>
      </c>
      <c r="H92" s="20">
        <v>2.94188567375</v>
      </c>
      <c r="I92" s="165">
        <f t="shared" si="4"/>
        <v>3.80509710305</v>
      </c>
    </row>
    <row r="93" ht="15.75" spans="1:9">
      <c r="A93" s="71"/>
      <c r="B93" s="71"/>
      <c r="C93" s="9"/>
      <c r="D93" s="149" t="s">
        <v>246</v>
      </c>
      <c r="E93" s="42">
        <v>22780</v>
      </c>
      <c r="F93" s="19">
        <v>99181</v>
      </c>
      <c r="G93" s="16">
        <f t="shared" si="3"/>
        <v>0.542035293</v>
      </c>
      <c r="H93" s="20">
        <v>2.00607739616588</v>
      </c>
      <c r="I93" s="165">
        <f t="shared" si="4"/>
        <v>2.54811268916588</v>
      </c>
    </row>
    <row r="94" ht="15.75" spans="1:9">
      <c r="A94" s="71"/>
      <c r="B94" s="71"/>
      <c r="C94" s="9"/>
      <c r="D94" s="149" t="s">
        <v>247</v>
      </c>
      <c r="E94" s="42">
        <v>15221</v>
      </c>
      <c r="F94" s="19">
        <v>32876</v>
      </c>
      <c r="G94" s="16">
        <f t="shared" si="3"/>
        <v>0.36217380135</v>
      </c>
      <c r="H94" s="20">
        <v>0.70779187629144</v>
      </c>
      <c r="I94" s="165">
        <f t="shared" si="4"/>
        <v>1.06996567764144</v>
      </c>
    </row>
    <row r="95" ht="15.75" spans="1:9">
      <c r="A95" s="71"/>
      <c r="B95" s="71"/>
      <c r="C95" s="9" t="s">
        <v>27</v>
      </c>
      <c r="D95" s="149" t="s">
        <v>35</v>
      </c>
      <c r="E95" s="42">
        <v>46</v>
      </c>
      <c r="F95" s="19">
        <v>43</v>
      </c>
      <c r="G95" s="16">
        <f t="shared" si="3"/>
        <v>0.0010945401</v>
      </c>
      <c r="H95" s="20">
        <v>0.0010298802728025</v>
      </c>
      <c r="I95" s="165">
        <f t="shared" si="4"/>
        <v>0.0021244203728025</v>
      </c>
    </row>
    <row r="96" ht="15.75" spans="1:9">
      <c r="A96" s="71"/>
      <c r="B96" s="71"/>
      <c r="C96" s="9" t="s">
        <v>245</v>
      </c>
      <c r="D96" s="149" t="s">
        <v>255</v>
      </c>
      <c r="E96" s="42">
        <v>1606</v>
      </c>
      <c r="F96" s="19">
        <v>2182</v>
      </c>
      <c r="G96" s="16">
        <f t="shared" si="3"/>
        <v>0.0382137261</v>
      </c>
      <c r="H96" s="20">
        <v>0.0485591311548346</v>
      </c>
      <c r="I96" s="165">
        <f t="shared" si="4"/>
        <v>0.0867728572548346</v>
      </c>
    </row>
    <row r="97" ht="15.75" spans="1:9">
      <c r="A97" s="71"/>
      <c r="B97" s="71"/>
      <c r="C97" s="9"/>
      <c r="D97" s="149" t="s">
        <v>252</v>
      </c>
      <c r="E97" s="42">
        <v>5</v>
      </c>
      <c r="F97" s="19">
        <v>2</v>
      </c>
      <c r="G97" s="166">
        <f t="shared" si="3"/>
        <v>0.00011897175</v>
      </c>
      <c r="H97" s="85">
        <v>5.32809761338158e-5</v>
      </c>
      <c r="I97" s="168">
        <f t="shared" si="4"/>
        <v>0.000172252726133816</v>
      </c>
    </row>
    <row r="98" ht="15.75" spans="1:9">
      <c r="A98" s="71"/>
      <c r="B98" s="71"/>
      <c r="C98" s="9"/>
      <c r="D98" s="149" t="s">
        <v>251</v>
      </c>
      <c r="E98" s="42">
        <v>93373</v>
      </c>
      <c r="F98" s="19">
        <v>71843</v>
      </c>
      <c r="G98" s="16">
        <f t="shared" si="3"/>
        <v>2.22174984255</v>
      </c>
      <c r="H98" s="20">
        <v>1.4768738436776</v>
      </c>
      <c r="I98" s="165">
        <f t="shared" si="4"/>
        <v>3.6986236862276</v>
      </c>
    </row>
    <row r="99" ht="15.75" spans="1:9">
      <c r="A99" s="71"/>
      <c r="B99" s="71"/>
      <c r="C99" s="9"/>
      <c r="D99" s="164" t="s">
        <v>253</v>
      </c>
      <c r="E99" s="42">
        <v>56178</v>
      </c>
      <c r="F99" s="19">
        <v>85658</v>
      </c>
      <c r="G99" s="16">
        <f t="shared" si="3"/>
        <v>1.3367189943</v>
      </c>
      <c r="H99" s="20">
        <v>1.8703350393524</v>
      </c>
      <c r="I99" s="165">
        <f t="shared" si="4"/>
        <v>3.2070540336524</v>
      </c>
    </row>
    <row r="100" ht="15.75" spans="1:9">
      <c r="A100" s="71"/>
      <c r="B100" s="71"/>
      <c r="C100" s="9"/>
      <c r="D100" s="149" t="s">
        <v>250</v>
      </c>
      <c r="E100" s="42">
        <v>2267</v>
      </c>
      <c r="F100" s="19">
        <v>3999</v>
      </c>
      <c r="G100" s="16">
        <f t="shared" si="3"/>
        <v>0.05394179145</v>
      </c>
      <c r="H100" s="20">
        <v>0.078414061153853</v>
      </c>
      <c r="I100" s="165">
        <f t="shared" si="4"/>
        <v>0.132355852603853</v>
      </c>
    </row>
    <row r="101" ht="15.75" spans="1:10">
      <c r="A101" s="71"/>
      <c r="B101" s="71"/>
      <c r="C101" s="9"/>
      <c r="D101" s="149" t="s">
        <v>254</v>
      </c>
      <c r="E101" s="42">
        <v>81551</v>
      </c>
      <c r="F101" s="19">
        <v>98600</v>
      </c>
      <c r="G101" s="16">
        <f t="shared" si="3"/>
        <v>1.94045303685</v>
      </c>
      <c r="H101" s="20">
        <v>1.20837517680175</v>
      </c>
      <c r="I101" s="165">
        <f t="shared" si="4"/>
        <v>3.14882821365175</v>
      </c>
      <c r="J101" s="53"/>
    </row>
    <row r="102" ht="15.75" customHeight="1" spans="1:9">
      <c r="A102" s="71">
        <v>5</v>
      </c>
      <c r="B102" s="71">
        <v>2021</v>
      </c>
      <c r="C102" s="9" t="s">
        <v>33</v>
      </c>
      <c r="D102" s="149" t="s">
        <v>35</v>
      </c>
      <c r="E102" s="42">
        <v>57</v>
      </c>
      <c r="F102" s="19">
        <v>32</v>
      </c>
      <c r="G102" s="16">
        <f t="shared" ref="G102:G124" si="5">E102*(65.19*365)/POWER(10,9)</f>
        <v>0.00135627795</v>
      </c>
      <c r="H102" s="20">
        <v>0.000890692914921429</v>
      </c>
      <c r="I102" s="165">
        <f t="shared" si="4"/>
        <v>0.00224697086492143</v>
      </c>
    </row>
    <row r="103" ht="15.75" customHeight="1" spans="1:9">
      <c r="A103" s="71"/>
      <c r="B103" s="71"/>
      <c r="C103" s="9" t="s">
        <v>227</v>
      </c>
      <c r="D103" s="149" t="s">
        <v>151</v>
      </c>
      <c r="E103" s="42">
        <v>27756</v>
      </c>
      <c r="F103" s="19">
        <v>13062</v>
      </c>
      <c r="G103" s="16">
        <f t="shared" si="5"/>
        <v>0.6604359786</v>
      </c>
      <c r="H103" s="20">
        <v>0.3184981903424</v>
      </c>
      <c r="I103" s="165">
        <f t="shared" si="4"/>
        <v>0.9789341689424</v>
      </c>
    </row>
    <row r="104" ht="15.75" spans="1:9">
      <c r="A104" s="71"/>
      <c r="B104" s="71"/>
      <c r="C104" s="9"/>
      <c r="D104" s="149" t="s">
        <v>242</v>
      </c>
      <c r="E104" s="42">
        <v>92490</v>
      </c>
      <c r="F104" s="19">
        <v>50059</v>
      </c>
      <c r="G104" s="16">
        <f t="shared" si="5"/>
        <v>2.2007394315</v>
      </c>
      <c r="H104" s="20">
        <v>1.25477869632571</v>
      </c>
      <c r="I104" s="165">
        <f t="shared" si="4"/>
        <v>3.45551812782571</v>
      </c>
    </row>
    <row r="105" ht="15.75" customHeight="1" spans="1:9">
      <c r="A105" s="71"/>
      <c r="B105" s="71"/>
      <c r="C105" s="9"/>
      <c r="D105" s="149" t="s">
        <v>152</v>
      </c>
      <c r="E105" s="42">
        <v>61504</v>
      </c>
      <c r="F105" s="19">
        <v>75199</v>
      </c>
      <c r="G105" s="16">
        <f t="shared" si="5"/>
        <v>1.4634477024</v>
      </c>
      <c r="H105" s="20">
        <v>0.768372664405693</v>
      </c>
      <c r="I105" s="165">
        <f t="shared" si="4"/>
        <v>2.23182036680569</v>
      </c>
    </row>
    <row r="106" ht="15.75" spans="1:9">
      <c r="A106" s="71"/>
      <c r="B106" s="71"/>
      <c r="C106" s="9" t="s">
        <v>95</v>
      </c>
      <c r="D106" s="149" t="s">
        <v>57</v>
      </c>
      <c r="E106" s="42">
        <v>33</v>
      </c>
      <c r="F106" s="19">
        <v>14</v>
      </c>
      <c r="G106" s="16">
        <f t="shared" si="5"/>
        <v>0.00078521355</v>
      </c>
      <c r="H106" s="20">
        <v>0.000451690665201786</v>
      </c>
      <c r="I106" s="165">
        <f t="shared" si="4"/>
        <v>0.00123690421520179</v>
      </c>
    </row>
    <row r="107" ht="15.75" spans="1:9">
      <c r="A107" s="71"/>
      <c r="B107" s="71"/>
      <c r="C107" s="9"/>
      <c r="D107" s="149" t="s">
        <v>77</v>
      </c>
      <c r="E107" s="42">
        <v>131846</v>
      </c>
      <c r="F107" s="19">
        <v>64770</v>
      </c>
      <c r="G107" s="16">
        <f t="shared" si="5"/>
        <v>3.1371898701</v>
      </c>
      <c r="H107" s="20">
        <v>1.1065837561065</v>
      </c>
      <c r="I107" s="165">
        <f t="shared" si="4"/>
        <v>4.2437736262065</v>
      </c>
    </row>
    <row r="108" ht="15.75" spans="1:9">
      <c r="A108" s="71"/>
      <c r="B108" s="71"/>
      <c r="C108" s="9"/>
      <c r="D108" s="149" t="s">
        <v>243</v>
      </c>
      <c r="E108" s="42">
        <v>30788</v>
      </c>
      <c r="F108" s="19">
        <v>36503</v>
      </c>
      <c r="G108" s="16">
        <f t="shared" si="5"/>
        <v>0.7325804478</v>
      </c>
      <c r="H108" s="20">
        <v>0.484588508589139</v>
      </c>
      <c r="I108" s="165">
        <f t="shared" si="4"/>
        <v>1.21716895638914</v>
      </c>
    </row>
    <row r="109" ht="15.75" spans="1:9">
      <c r="A109" s="71"/>
      <c r="B109" s="71"/>
      <c r="C109" s="9"/>
      <c r="D109" s="149" t="s">
        <v>50</v>
      </c>
      <c r="E109" s="42">
        <v>88617</v>
      </c>
      <c r="F109" s="19">
        <v>43844</v>
      </c>
      <c r="G109" s="16">
        <f t="shared" si="5"/>
        <v>2.10858391395</v>
      </c>
      <c r="H109" s="20">
        <v>1.3701038496209</v>
      </c>
      <c r="I109" s="165">
        <f t="shared" si="4"/>
        <v>3.4786877635709</v>
      </c>
    </row>
    <row r="110" ht="19.5" customHeight="1" spans="1:9">
      <c r="A110" s="71"/>
      <c r="B110" s="71"/>
      <c r="C110" s="9" t="s">
        <v>58</v>
      </c>
      <c r="D110" s="149" t="s">
        <v>59</v>
      </c>
      <c r="E110" s="42">
        <v>13575</v>
      </c>
      <c r="F110" s="19">
        <v>19997</v>
      </c>
      <c r="G110" s="16">
        <f t="shared" si="5"/>
        <v>0.32300830125</v>
      </c>
      <c r="H110" s="20">
        <v>0.389046903028586</v>
      </c>
      <c r="I110" s="165">
        <f t="shared" si="4"/>
        <v>0.712055204278586</v>
      </c>
    </row>
    <row r="111" ht="19.5" customHeight="1" spans="1:9">
      <c r="A111" s="71"/>
      <c r="B111" s="71"/>
      <c r="C111" s="9"/>
      <c r="D111" s="149" t="s">
        <v>156</v>
      </c>
      <c r="E111" s="42">
        <v>56402</v>
      </c>
      <c r="F111" s="19">
        <v>43890</v>
      </c>
      <c r="G111" s="16">
        <f t="shared" si="5"/>
        <v>1.3420489287</v>
      </c>
      <c r="H111" s="20">
        <v>1.39809006111342</v>
      </c>
      <c r="I111" s="165">
        <f t="shared" si="4"/>
        <v>2.74013898981342</v>
      </c>
    </row>
    <row r="112" ht="19.5" customHeight="1" spans="1:9">
      <c r="A112" s="71"/>
      <c r="B112" s="71"/>
      <c r="C112" s="9"/>
      <c r="D112" s="149" t="s">
        <v>58</v>
      </c>
      <c r="E112" s="42">
        <v>167687</v>
      </c>
      <c r="F112" s="19">
        <v>65152</v>
      </c>
      <c r="G112" s="16">
        <f t="shared" si="5"/>
        <v>3.99000316845</v>
      </c>
      <c r="H112" s="20">
        <v>1.30179314733981</v>
      </c>
      <c r="I112" s="165">
        <f t="shared" si="4"/>
        <v>5.29179631578981</v>
      </c>
    </row>
    <row r="113" ht="19.5" customHeight="1" spans="1:9">
      <c r="A113" s="71"/>
      <c r="B113" s="71"/>
      <c r="C113" s="9"/>
      <c r="D113" s="149" t="s">
        <v>157</v>
      </c>
      <c r="E113" s="42">
        <v>63384</v>
      </c>
      <c r="F113" s="19">
        <v>73071</v>
      </c>
      <c r="G113" s="16">
        <f t="shared" si="5"/>
        <v>1.5081810804</v>
      </c>
      <c r="H113" s="20">
        <v>1.57799585605801</v>
      </c>
      <c r="I113" s="165">
        <f t="shared" si="4"/>
        <v>3.08617693645801</v>
      </c>
    </row>
    <row r="114" ht="19.5" customHeight="1" spans="1:9">
      <c r="A114" s="71"/>
      <c r="B114" s="71"/>
      <c r="C114" s="9"/>
      <c r="D114" s="149" t="s">
        <v>244</v>
      </c>
      <c r="E114" s="42">
        <v>269199</v>
      </c>
      <c r="F114" s="19">
        <v>391648</v>
      </c>
      <c r="G114" s="16">
        <f t="shared" si="5"/>
        <v>6.40541522565</v>
      </c>
      <c r="H114" s="20">
        <v>6.52931029535714</v>
      </c>
      <c r="I114" s="165">
        <f t="shared" si="4"/>
        <v>12.9347255210071</v>
      </c>
    </row>
    <row r="115" ht="17.25" customHeight="1" spans="1:9">
      <c r="A115" s="71"/>
      <c r="B115" s="71"/>
      <c r="C115" s="9" t="s">
        <v>256</v>
      </c>
      <c r="D115" s="149" t="s">
        <v>248</v>
      </c>
      <c r="E115" s="42">
        <v>28344</v>
      </c>
      <c r="F115" s="19">
        <v>191078</v>
      </c>
      <c r="G115" s="16">
        <f t="shared" si="5"/>
        <v>0.6744270564</v>
      </c>
      <c r="H115" s="20">
        <v>2.79461143352537</v>
      </c>
      <c r="I115" s="165">
        <f t="shared" si="4"/>
        <v>3.46903848992537</v>
      </c>
    </row>
    <row r="116" ht="17.25" customHeight="1" spans="1:9">
      <c r="A116" s="71"/>
      <c r="B116" s="71"/>
      <c r="C116" s="9"/>
      <c r="D116" s="149" t="s">
        <v>249</v>
      </c>
      <c r="E116" s="42">
        <v>47857</v>
      </c>
      <c r="F116" s="19">
        <v>230307</v>
      </c>
      <c r="G116" s="16">
        <f t="shared" si="5"/>
        <v>1.13872620795</v>
      </c>
      <c r="H116" s="20">
        <v>4.59226230857143</v>
      </c>
      <c r="I116" s="165">
        <f t="shared" si="4"/>
        <v>5.73098851652143</v>
      </c>
    </row>
    <row r="117" ht="17.25" customHeight="1" spans="1:9">
      <c r="A117" s="71"/>
      <c r="B117" s="71"/>
      <c r="C117" s="9"/>
      <c r="D117" s="149" t="s">
        <v>246</v>
      </c>
      <c r="E117" s="42">
        <v>30050</v>
      </c>
      <c r="F117" s="19">
        <v>67282</v>
      </c>
      <c r="G117" s="16">
        <f t="shared" si="5"/>
        <v>0.7150202175</v>
      </c>
      <c r="H117" s="20">
        <v>1.34873256453142</v>
      </c>
      <c r="I117" s="165">
        <f t="shared" si="4"/>
        <v>2.06375278203142</v>
      </c>
    </row>
    <row r="118" ht="17.25" customHeight="1" spans="1:9">
      <c r="A118" s="71"/>
      <c r="B118" s="71"/>
      <c r="C118" s="9"/>
      <c r="D118" s="149" t="s">
        <v>247</v>
      </c>
      <c r="E118" s="42">
        <v>20079</v>
      </c>
      <c r="F118" s="19">
        <v>81154</v>
      </c>
      <c r="G118" s="16">
        <f t="shared" si="5"/>
        <v>0.47776675365</v>
      </c>
      <c r="H118" s="20">
        <v>0.926931428026136</v>
      </c>
      <c r="I118" s="165">
        <f t="shared" si="4"/>
        <v>1.40469818167614</v>
      </c>
    </row>
    <row r="119" ht="17.25" customHeight="1" spans="1:9">
      <c r="A119" s="71"/>
      <c r="B119" s="71"/>
      <c r="C119" s="9" t="s">
        <v>245</v>
      </c>
      <c r="D119" s="149" t="s">
        <v>255</v>
      </c>
      <c r="E119" s="42">
        <v>1740</v>
      </c>
      <c r="F119" s="19">
        <v>3650</v>
      </c>
      <c r="G119" s="16">
        <f t="shared" si="5"/>
        <v>0.041402169</v>
      </c>
      <c r="H119" s="20">
        <v>0.075982033511125</v>
      </c>
      <c r="I119" s="165">
        <f t="shared" si="4"/>
        <v>0.117384202511125</v>
      </c>
    </row>
    <row r="120" ht="17.25" customHeight="1" spans="1:9">
      <c r="A120" s="71"/>
      <c r="B120" s="71"/>
      <c r="C120" s="9"/>
      <c r="D120" s="149" t="s">
        <v>254</v>
      </c>
      <c r="E120" s="42">
        <v>88380</v>
      </c>
      <c r="F120" s="19">
        <v>46282</v>
      </c>
      <c r="G120" s="16">
        <f t="shared" si="5"/>
        <v>2.102944653</v>
      </c>
      <c r="H120" s="20">
        <v>1.31783514519463</v>
      </c>
      <c r="I120" s="165">
        <f>G120+H120</f>
        <v>3.42077979819463</v>
      </c>
    </row>
    <row r="121" ht="17.25" customHeight="1" spans="1:9">
      <c r="A121" s="71"/>
      <c r="B121" s="71"/>
      <c r="C121" s="9" t="s">
        <v>250</v>
      </c>
      <c r="D121" s="149" t="s">
        <v>252</v>
      </c>
      <c r="E121" s="42">
        <v>5</v>
      </c>
      <c r="F121" s="19">
        <v>3</v>
      </c>
      <c r="G121" s="166">
        <f t="shared" si="5"/>
        <v>0.00011897175</v>
      </c>
      <c r="H121" s="85">
        <v>7.381281485e-5</v>
      </c>
      <c r="I121" s="168">
        <f>G121+H121</f>
        <v>0.00019278456485</v>
      </c>
    </row>
    <row r="122" ht="17.25" customHeight="1" spans="1:9">
      <c r="A122" s="71"/>
      <c r="B122" s="71"/>
      <c r="C122" s="9"/>
      <c r="D122" s="149" t="s">
        <v>251</v>
      </c>
      <c r="E122" s="42">
        <v>106681</v>
      </c>
      <c r="F122" s="19">
        <v>85850</v>
      </c>
      <c r="G122" s="16">
        <f t="shared" si="5"/>
        <v>2.53840505235</v>
      </c>
      <c r="H122" s="20">
        <v>1.75778079064561</v>
      </c>
      <c r="I122" s="165">
        <f>G122+H122</f>
        <v>4.29618584299561</v>
      </c>
    </row>
    <row r="123" ht="17.25" customHeight="1" spans="1:9">
      <c r="A123" s="71"/>
      <c r="B123" s="71"/>
      <c r="C123" s="9"/>
      <c r="D123" s="164" t="s">
        <v>253</v>
      </c>
      <c r="E123" s="42">
        <v>64185</v>
      </c>
      <c r="F123" s="19">
        <v>83670</v>
      </c>
      <c r="G123" s="16">
        <f t="shared" si="5"/>
        <v>1.52724035475</v>
      </c>
      <c r="H123" s="20">
        <v>2.50255350975964</v>
      </c>
      <c r="I123" s="165">
        <f>G123+H123</f>
        <v>4.02979386450964</v>
      </c>
    </row>
    <row r="124" ht="15.75" spans="1:10">
      <c r="A124" s="71"/>
      <c r="B124" s="71"/>
      <c r="C124" s="9"/>
      <c r="D124" s="149" t="s">
        <v>250</v>
      </c>
      <c r="E124" s="42">
        <v>2591</v>
      </c>
      <c r="F124" s="19">
        <v>5698</v>
      </c>
      <c r="G124" s="16">
        <f t="shared" si="5"/>
        <v>0.06165116085</v>
      </c>
      <c r="H124" s="20">
        <v>0.09857883605485</v>
      </c>
      <c r="I124" s="165">
        <f>G124+H124</f>
        <v>0.16022999690485</v>
      </c>
      <c r="J124" s="53"/>
    </row>
    <row r="125" ht="15.75" spans="1:9">
      <c r="A125" s="86"/>
      <c r="B125" s="87"/>
      <c r="C125" s="87"/>
      <c r="D125" s="87"/>
      <c r="E125" s="87"/>
      <c r="F125" s="87"/>
      <c r="G125" s="87"/>
      <c r="H125" s="87"/>
      <c r="I125" s="87"/>
    </row>
    <row r="126" ht="15.75" spans="1:9">
      <c r="A126" s="4" t="s">
        <v>81</v>
      </c>
      <c r="B126" s="4"/>
      <c r="C126" s="4"/>
      <c r="D126" s="32"/>
      <c r="E126" s="4"/>
      <c r="F126" s="4"/>
      <c r="G126" s="167" t="s">
        <v>8</v>
      </c>
      <c r="H126" s="167"/>
      <c r="I126" s="167"/>
    </row>
    <row r="127" ht="36" customHeight="1" spans="1:9">
      <c r="A127" s="41" t="s">
        <v>103</v>
      </c>
      <c r="B127" s="35" t="s">
        <v>10</v>
      </c>
      <c r="C127" s="41" t="s">
        <v>11</v>
      </c>
      <c r="D127" s="35" t="s">
        <v>83</v>
      </c>
      <c r="E127" s="35" t="s">
        <v>13</v>
      </c>
      <c r="F127" s="35" t="s">
        <v>84</v>
      </c>
      <c r="G127" s="35" t="s">
        <v>15</v>
      </c>
      <c r="H127" s="35" t="s">
        <v>16</v>
      </c>
      <c r="I127" s="35" t="s">
        <v>17</v>
      </c>
    </row>
    <row r="128" ht="27.6" customHeight="1" spans="1:9">
      <c r="A128" s="9" t="s">
        <v>18</v>
      </c>
      <c r="B128" s="10" t="s">
        <v>19</v>
      </c>
      <c r="C128" s="9" t="s">
        <v>20</v>
      </c>
      <c r="D128" s="10" t="s">
        <v>21</v>
      </c>
      <c r="E128" s="10" t="s">
        <v>22</v>
      </c>
      <c r="F128" s="10" t="s">
        <v>23</v>
      </c>
      <c r="G128" s="10" t="s">
        <v>24</v>
      </c>
      <c r="H128" s="10" t="s">
        <v>25</v>
      </c>
      <c r="I128" s="10" t="s">
        <v>26</v>
      </c>
    </row>
    <row r="129" ht="15" customHeight="1" spans="1:9">
      <c r="A129" s="71">
        <v>1</v>
      </c>
      <c r="B129" s="70">
        <v>1981</v>
      </c>
      <c r="C129" s="169" t="s">
        <v>48</v>
      </c>
      <c r="D129" s="72" t="s">
        <v>257</v>
      </c>
      <c r="E129" s="15">
        <v>22996</v>
      </c>
      <c r="F129" s="170" t="s">
        <v>29</v>
      </c>
      <c r="G129" s="43">
        <f t="shared" ref="G129:G192" si="6">E129*(162*365)/POWER(10,9)</f>
        <v>1.35975348</v>
      </c>
      <c r="H129" s="170" t="s">
        <v>29</v>
      </c>
      <c r="I129" s="20">
        <f>G129</f>
        <v>1.35975348</v>
      </c>
    </row>
    <row r="130" ht="15" customHeight="1" spans="1:9">
      <c r="A130" s="71"/>
      <c r="B130" s="83"/>
      <c r="C130" s="171"/>
      <c r="D130" s="72" t="s">
        <v>258</v>
      </c>
      <c r="E130" s="15">
        <v>17886</v>
      </c>
      <c r="F130" s="170" t="s">
        <v>29</v>
      </c>
      <c r="G130" s="43">
        <f t="shared" si="6"/>
        <v>1.05759918</v>
      </c>
      <c r="H130" s="170" t="s">
        <v>29</v>
      </c>
      <c r="I130" s="20">
        <f t="shared" ref="I130:I146" si="7">G130</f>
        <v>1.05759918</v>
      </c>
    </row>
    <row r="131" ht="15" customHeight="1" spans="1:9">
      <c r="A131" s="71"/>
      <c r="B131" s="83"/>
      <c r="C131" s="172"/>
      <c r="D131" s="72" t="s">
        <v>259</v>
      </c>
      <c r="E131" s="15">
        <v>83387</v>
      </c>
      <c r="F131" s="170" t="s">
        <v>29</v>
      </c>
      <c r="G131" s="43">
        <f t="shared" si="6"/>
        <v>4.93067331</v>
      </c>
      <c r="H131" s="170" t="s">
        <v>29</v>
      </c>
      <c r="I131" s="20">
        <f t="shared" si="7"/>
        <v>4.93067331</v>
      </c>
    </row>
    <row r="132" ht="15.75" spans="1:9">
      <c r="A132" s="71"/>
      <c r="B132" s="83"/>
      <c r="C132" s="147" t="s">
        <v>260</v>
      </c>
      <c r="D132" s="108" t="s">
        <v>246</v>
      </c>
      <c r="E132" s="15">
        <v>19265</v>
      </c>
      <c r="F132" s="170" t="s">
        <v>29</v>
      </c>
      <c r="G132" s="43">
        <f t="shared" si="6"/>
        <v>1.13913945</v>
      </c>
      <c r="H132" s="170" t="s">
        <v>29</v>
      </c>
      <c r="I132" s="20">
        <f t="shared" si="7"/>
        <v>1.13913945</v>
      </c>
    </row>
    <row r="133" ht="15.75" spans="1:9">
      <c r="A133" s="71"/>
      <c r="B133" s="83"/>
      <c r="C133" s="147"/>
      <c r="D133" s="108" t="s">
        <v>261</v>
      </c>
      <c r="E133" s="15">
        <v>29266</v>
      </c>
      <c r="F133" s="170" t="s">
        <v>29</v>
      </c>
      <c r="G133" s="43">
        <f t="shared" si="6"/>
        <v>1.73049858</v>
      </c>
      <c r="H133" s="170" t="s">
        <v>29</v>
      </c>
      <c r="I133" s="20">
        <f t="shared" si="7"/>
        <v>1.73049858</v>
      </c>
    </row>
    <row r="134" ht="16.5" customHeight="1" spans="1:9">
      <c r="A134" s="71"/>
      <c r="B134" s="83"/>
      <c r="C134" s="147"/>
      <c r="D134" s="108" t="s">
        <v>248</v>
      </c>
      <c r="E134" s="15">
        <v>6530</v>
      </c>
      <c r="F134" s="170" t="s">
        <v>29</v>
      </c>
      <c r="G134" s="43">
        <f t="shared" si="6"/>
        <v>0.3861189</v>
      </c>
      <c r="H134" s="170" t="s">
        <v>29</v>
      </c>
      <c r="I134" s="20">
        <f t="shared" si="7"/>
        <v>0.3861189</v>
      </c>
    </row>
    <row r="135" ht="16.5" customHeight="1" spans="1:9">
      <c r="A135" s="71"/>
      <c r="B135" s="84"/>
      <c r="C135" s="147"/>
      <c r="D135" s="108" t="s">
        <v>262</v>
      </c>
      <c r="E135" s="15">
        <v>11851</v>
      </c>
      <c r="F135" s="170" t="s">
        <v>29</v>
      </c>
      <c r="G135" s="43">
        <f t="shared" si="6"/>
        <v>0.70074963</v>
      </c>
      <c r="H135" s="170" t="s">
        <v>29</v>
      </c>
      <c r="I135" s="20">
        <f t="shared" si="7"/>
        <v>0.70074963</v>
      </c>
    </row>
    <row r="136" ht="16.5" customHeight="1" spans="1:9">
      <c r="A136" s="70">
        <v>2</v>
      </c>
      <c r="B136" s="70">
        <v>1991</v>
      </c>
      <c r="C136" s="169" t="s">
        <v>48</v>
      </c>
      <c r="D136" s="72" t="s">
        <v>152</v>
      </c>
      <c r="E136" s="15">
        <v>11305</v>
      </c>
      <c r="F136" s="170" t="s">
        <v>29</v>
      </c>
      <c r="G136" s="43">
        <f t="shared" si="6"/>
        <v>0.66846465</v>
      </c>
      <c r="H136" s="170" t="s">
        <v>29</v>
      </c>
      <c r="I136" s="20">
        <f t="shared" si="7"/>
        <v>0.66846465</v>
      </c>
    </row>
    <row r="137" ht="16.5" customHeight="1" spans="1:9">
      <c r="A137" s="83"/>
      <c r="B137" s="83"/>
      <c r="C137" s="171"/>
      <c r="D137" s="72" t="s">
        <v>257</v>
      </c>
      <c r="E137" s="15">
        <v>30086</v>
      </c>
      <c r="F137" s="170" t="s">
        <v>29</v>
      </c>
      <c r="G137" s="43">
        <f t="shared" si="6"/>
        <v>1.77898518</v>
      </c>
      <c r="H137" s="170" t="s">
        <v>29</v>
      </c>
      <c r="I137" s="20">
        <f t="shared" si="7"/>
        <v>1.77898518</v>
      </c>
    </row>
    <row r="138" ht="16.5" customHeight="1" spans="1:9">
      <c r="A138" s="83"/>
      <c r="B138" s="83"/>
      <c r="C138" s="171"/>
      <c r="D138" s="72" t="s">
        <v>258</v>
      </c>
      <c r="E138" s="15">
        <v>24754</v>
      </c>
      <c r="F138" s="170" t="s">
        <v>29</v>
      </c>
      <c r="G138" s="43">
        <f t="shared" si="6"/>
        <v>1.46370402</v>
      </c>
      <c r="H138" s="170" t="s">
        <v>29</v>
      </c>
      <c r="I138" s="20">
        <f t="shared" si="7"/>
        <v>1.46370402</v>
      </c>
    </row>
    <row r="139" ht="15.75" spans="1:9">
      <c r="A139" s="83"/>
      <c r="B139" s="83"/>
      <c r="C139" s="171"/>
      <c r="D139" s="72" t="s">
        <v>55</v>
      </c>
      <c r="E139" s="15">
        <v>9553</v>
      </c>
      <c r="F139" s="170" t="s">
        <v>29</v>
      </c>
      <c r="G139" s="43">
        <f t="shared" si="6"/>
        <v>0.56486889</v>
      </c>
      <c r="H139" s="170" t="s">
        <v>29</v>
      </c>
      <c r="I139" s="20">
        <f t="shared" si="7"/>
        <v>0.56486889</v>
      </c>
    </row>
    <row r="140" ht="15.75" spans="1:9">
      <c r="A140" s="83"/>
      <c r="B140" s="83"/>
      <c r="C140" s="171"/>
      <c r="D140" s="72" t="s">
        <v>259</v>
      </c>
      <c r="E140" s="15">
        <v>146727</v>
      </c>
      <c r="F140" s="170" t="s">
        <v>29</v>
      </c>
      <c r="G140" s="43">
        <f t="shared" si="6"/>
        <v>8.67596751</v>
      </c>
      <c r="H140" s="170" t="s">
        <v>29</v>
      </c>
      <c r="I140" s="20">
        <f t="shared" si="7"/>
        <v>8.67596751</v>
      </c>
    </row>
    <row r="141" ht="15.75" spans="1:9">
      <c r="A141" s="83"/>
      <c r="B141" s="83"/>
      <c r="C141" s="172"/>
      <c r="D141" s="72" t="s">
        <v>156</v>
      </c>
      <c r="E141" s="15">
        <v>14761</v>
      </c>
      <c r="F141" s="170" t="s">
        <v>29</v>
      </c>
      <c r="G141" s="43">
        <f t="shared" si="6"/>
        <v>0.87281793</v>
      </c>
      <c r="H141" s="170" t="s">
        <v>29</v>
      </c>
      <c r="I141" s="20">
        <f t="shared" si="7"/>
        <v>0.87281793</v>
      </c>
    </row>
    <row r="142" ht="19.5" customHeight="1" spans="1:9">
      <c r="A142" s="83"/>
      <c r="B142" s="83"/>
      <c r="C142" s="169" t="s">
        <v>260</v>
      </c>
      <c r="D142" s="108" t="s">
        <v>246</v>
      </c>
      <c r="E142" s="15">
        <v>26326</v>
      </c>
      <c r="F142" s="170" t="s">
        <v>29</v>
      </c>
      <c r="G142" s="43">
        <f t="shared" si="6"/>
        <v>1.55665638</v>
      </c>
      <c r="H142" s="170" t="s">
        <v>29</v>
      </c>
      <c r="I142" s="20">
        <f t="shared" si="7"/>
        <v>1.55665638</v>
      </c>
    </row>
    <row r="143" ht="15.75" spans="1:9">
      <c r="A143" s="83"/>
      <c r="B143" s="83"/>
      <c r="C143" s="171"/>
      <c r="D143" s="108" t="s">
        <v>261</v>
      </c>
      <c r="E143" s="15">
        <v>89460</v>
      </c>
      <c r="F143" s="170" t="s">
        <v>29</v>
      </c>
      <c r="G143" s="43">
        <f t="shared" si="6"/>
        <v>5.2897698</v>
      </c>
      <c r="H143" s="170" t="s">
        <v>29</v>
      </c>
      <c r="I143" s="20">
        <f t="shared" si="7"/>
        <v>5.2897698</v>
      </c>
    </row>
    <row r="144" ht="15.75" spans="1:9">
      <c r="A144" s="83"/>
      <c r="B144" s="83"/>
      <c r="C144" s="171"/>
      <c r="D144" s="108" t="s">
        <v>248</v>
      </c>
      <c r="E144" s="15">
        <v>8316</v>
      </c>
      <c r="F144" s="170" t="s">
        <v>29</v>
      </c>
      <c r="G144" s="43">
        <f t="shared" si="6"/>
        <v>0.49172508</v>
      </c>
      <c r="H144" s="170" t="s">
        <v>29</v>
      </c>
      <c r="I144" s="20">
        <f t="shared" si="7"/>
        <v>0.49172508</v>
      </c>
    </row>
    <row r="145" ht="15.75" spans="1:9">
      <c r="A145" s="83"/>
      <c r="B145" s="83"/>
      <c r="C145" s="171"/>
      <c r="D145" s="108" t="s">
        <v>263</v>
      </c>
      <c r="E145" s="15">
        <v>13404</v>
      </c>
      <c r="F145" s="170" t="s">
        <v>29</v>
      </c>
      <c r="G145" s="43">
        <f t="shared" si="6"/>
        <v>0.79257852</v>
      </c>
      <c r="H145" s="170" t="s">
        <v>29</v>
      </c>
      <c r="I145" s="20">
        <f t="shared" si="7"/>
        <v>0.79257852</v>
      </c>
    </row>
    <row r="146" ht="15.75" spans="1:9">
      <c r="A146" s="84"/>
      <c r="B146" s="84"/>
      <c r="C146" s="172"/>
      <c r="D146" s="108" t="s">
        <v>262</v>
      </c>
      <c r="E146" s="15">
        <v>13933</v>
      </c>
      <c r="F146" s="170" t="s">
        <v>29</v>
      </c>
      <c r="G146" s="43">
        <f t="shared" si="6"/>
        <v>0.82385829</v>
      </c>
      <c r="H146" s="170" t="s">
        <v>29</v>
      </c>
      <c r="I146" s="20">
        <f t="shared" si="7"/>
        <v>0.82385829</v>
      </c>
    </row>
    <row r="147" ht="15.75" spans="1:9">
      <c r="A147" s="70">
        <v>3</v>
      </c>
      <c r="B147" s="70">
        <v>2001</v>
      </c>
      <c r="C147" s="109" t="s">
        <v>48</v>
      </c>
      <c r="D147" s="72" t="s">
        <v>152</v>
      </c>
      <c r="E147" s="15">
        <v>12397</v>
      </c>
      <c r="F147" s="19">
        <v>6304</v>
      </c>
      <c r="G147" s="43">
        <f t="shared" si="6"/>
        <v>0.73303461</v>
      </c>
      <c r="H147" s="20">
        <v>0.128450607571539</v>
      </c>
      <c r="I147" s="20">
        <f>G147+H147</f>
        <v>0.861485217571539</v>
      </c>
    </row>
    <row r="148" ht="15.75" spans="1:9">
      <c r="A148" s="83"/>
      <c r="B148" s="83"/>
      <c r="C148" s="169" t="s">
        <v>95</v>
      </c>
      <c r="D148" s="72" t="s">
        <v>55</v>
      </c>
      <c r="E148" s="15">
        <v>11331</v>
      </c>
      <c r="F148" s="19">
        <v>10796</v>
      </c>
      <c r="G148" s="43">
        <f t="shared" si="6"/>
        <v>0.67000203</v>
      </c>
      <c r="H148" s="20">
        <v>0.0957834438815544</v>
      </c>
      <c r="I148" s="20">
        <f>G148+H148</f>
        <v>0.765785473881554</v>
      </c>
    </row>
    <row r="149" ht="15.75" spans="1:9">
      <c r="A149" s="83"/>
      <c r="B149" s="83"/>
      <c r="C149" s="171"/>
      <c r="D149" s="72" t="s">
        <v>257</v>
      </c>
      <c r="E149" s="15">
        <v>37957</v>
      </c>
      <c r="F149" s="19">
        <v>2584</v>
      </c>
      <c r="G149" s="43">
        <f t="shared" si="6"/>
        <v>2.24439741</v>
      </c>
      <c r="H149" s="20">
        <v>0.065600903104806</v>
      </c>
      <c r="I149" s="20">
        <f>G149+H149</f>
        <v>2.30999831310481</v>
      </c>
    </row>
    <row r="150" ht="15.75" spans="1:9">
      <c r="A150" s="83"/>
      <c r="B150" s="83"/>
      <c r="C150" s="171"/>
      <c r="D150" s="72" t="s">
        <v>258</v>
      </c>
      <c r="E150" s="15">
        <v>32513</v>
      </c>
      <c r="F150" s="19">
        <v>11608</v>
      </c>
      <c r="G150" s="43">
        <f t="shared" si="6"/>
        <v>1.92249369</v>
      </c>
      <c r="H150" s="20">
        <v>0.14873722293266</v>
      </c>
      <c r="I150" s="20">
        <f>G150+H150</f>
        <v>2.07123091293266</v>
      </c>
    </row>
    <row r="151" ht="13.95" customHeight="1" spans="1:9">
      <c r="A151" s="83"/>
      <c r="B151" s="83"/>
      <c r="C151" s="172"/>
      <c r="D151" s="72" t="s">
        <v>264</v>
      </c>
      <c r="E151" s="15">
        <v>6164</v>
      </c>
      <c r="F151" s="170" t="s">
        <v>29</v>
      </c>
      <c r="G151" s="43">
        <f t="shared" si="6"/>
        <v>0.36447732</v>
      </c>
      <c r="H151" s="170" t="s">
        <v>29</v>
      </c>
      <c r="I151" s="20">
        <f>G151</f>
        <v>0.36447732</v>
      </c>
    </row>
    <row r="152" ht="13.95" customHeight="1" spans="1:9">
      <c r="A152" s="83"/>
      <c r="B152" s="83"/>
      <c r="C152" s="169" t="s">
        <v>58</v>
      </c>
      <c r="D152" s="108" t="s">
        <v>265</v>
      </c>
      <c r="E152" s="15">
        <v>6772</v>
      </c>
      <c r="F152" s="19">
        <v>6780</v>
      </c>
      <c r="G152" s="43">
        <f t="shared" si="6"/>
        <v>0.40042836</v>
      </c>
      <c r="H152" s="20">
        <v>0.136904354303902</v>
      </c>
      <c r="I152" s="20">
        <f t="shared" ref="I152:I158" si="8">G152+H152</f>
        <v>0.537332714303902</v>
      </c>
    </row>
    <row r="153" ht="13.95" customHeight="1" spans="1:9">
      <c r="A153" s="83"/>
      <c r="B153" s="83"/>
      <c r="C153" s="171"/>
      <c r="D153" s="72" t="s">
        <v>266</v>
      </c>
      <c r="E153" s="15">
        <v>20182</v>
      </c>
      <c r="F153" s="19">
        <v>494</v>
      </c>
      <c r="G153" s="43">
        <f t="shared" si="6"/>
        <v>1.19336166</v>
      </c>
      <c r="H153" s="20">
        <v>0.0147997234253263</v>
      </c>
      <c r="I153" s="20">
        <f t="shared" si="8"/>
        <v>1.20816138342533</v>
      </c>
    </row>
    <row r="154" ht="13.95" customHeight="1" spans="1:9">
      <c r="A154" s="83"/>
      <c r="B154" s="83"/>
      <c r="C154" s="171"/>
      <c r="D154" s="72" t="s">
        <v>156</v>
      </c>
      <c r="E154" s="15">
        <v>18523</v>
      </c>
      <c r="F154" s="19">
        <v>8666</v>
      </c>
      <c r="G154" s="43">
        <f t="shared" si="6"/>
        <v>1.09526499</v>
      </c>
      <c r="H154" s="20">
        <v>0.225464476264545</v>
      </c>
      <c r="I154" s="20">
        <f t="shared" si="8"/>
        <v>1.32072946626455</v>
      </c>
    </row>
    <row r="155" ht="15.75" spans="1:9">
      <c r="A155" s="83"/>
      <c r="B155" s="83"/>
      <c r="C155" s="172"/>
      <c r="D155" s="72" t="s">
        <v>259</v>
      </c>
      <c r="E155" s="15">
        <v>315690</v>
      </c>
      <c r="F155" s="19">
        <v>27336</v>
      </c>
      <c r="G155" s="43">
        <f t="shared" si="6"/>
        <v>18.6667497</v>
      </c>
      <c r="H155" s="20">
        <v>0.326399381420181</v>
      </c>
      <c r="I155" s="20">
        <f t="shared" si="8"/>
        <v>18.9931490814202</v>
      </c>
    </row>
    <row r="156" ht="15.75" spans="1:9">
      <c r="A156" s="83"/>
      <c r="B156" s="83"/>
      <c r="C156" s="169" t="s">
        <v>256</v>
      </c>
      <c r="D156" s="108" t="s">
        <v>248</v>
      </c>
      <c r="E156" s="15">
        <v>22713</v>
      </c>
      <c r="F156" s="19">
        <v>9060</v>
      </c>
      <c r="G156" s="43">
        <f t="shared" si="6"/>
        <v>1.34301969</v>
      </c>
      <c r="H156" s="20">
        <v>0.101242242178758</v>
      </c>
      <c r="I156" s="20">
        <f t="shared" si="8"/>
        <v>1.44426193217876</v>
      </c>
    </row>
    <row r="157" ht="15.75" spans="1:9">
      <c r="A157" s="83"/>
      <c r="B157" s="83"/>
      <c r="C157" s="171"/>
      <c r="D157" s="108" t="s">
        <v>261</v>
      </c>
      <c r="E157" s="15">
        <v>96381</v>
      </c>
      <c r="F157" s="19">
        <v>9255</v>
      </c>
      <c r="G157" s="43">
        <f t="shared" si="6"/>
        <v>5.69900853</v>
      </c>
      <c r="H157" s="20">
        <v>0.142084702628179</v>
      </c>
      <c r="I157" s="20">
        <f t="shared" si="8"/>
        <v>5.84109323262818</v>
      </c>
    </row>
    <row r="158" ht="15.75" spans="1:9">
      <c r="A158" s="83"/>
      <c r="B158" s="83"/>
      <c r="C158" s="171"/>
      <c r="D158" s="108" t="s">
        <v>262</v>
      </c>
      <c r="E158" s="15">
        <v>7504</v>
      </c>
      <c r="F158" s="19">
        <v>3176</v>
      </c>
      <c r="G158" s="43">
        <f t="shared" si="6"/>
        <v>0.44371152</v>
      </c>
      <c r="H158" s="20">
        <v>0.0119426494001907</v>
      </c>
      <c r="I158" s="20">
        <f t="shared" si="8"/>
        <v>0.455654169400191</v>
      </c>
    </row>
    <row r="159" ht="15.75" spans="1:9">
      <c r="A159" s="83"/>
      <c r="B159" s="83"/>
      <c r="C159" s="171"/>
      <c r="D159" s="108" t="s">
        <v>267</v>
      </c>
      <c r="E159" s="15">
        <v>17862</v>
      </c>
      <c r="F159" s="170" t="s">
        <v>29</v>
      </c>
      <c r="G159" s="43">
        <f t="shared" si="6"/>
        <v>1.05618006</v>
      </c>
      <c r="H159" s="170" t="s">
        <v>29</v>
      </c>
      <c r="I159" s="20">
        <f>G159</f>
        <v>1.05618006</v>
      </c>
    </row>
    <row r="160" ht="15.75" spans="1:9">
      <c r="A160" s="83"/>
      <c r="B160" s="83"/>
      <c r="C160" s="171"/>
      <c r="D160" s="108" t="s">
        <v>246</v>
      </c>
      <c r="E160" s="15">
        <v>30758</v>
      </c>
      <c r="F160" s="19">
        <v>10053</v>
      </c>
      <c r="G160" s="43">
        <f t="shared" si="6"/>
        <v>1.81872054</v>
      </c>
      <c r="H160" s="20">
        <v>0.0900402727060708</v>
      </c>
      <c r="I160" s="20">
        <f>G160+H160</f>
        <v>1.90876081270607</v>
      </c>
    </row>
    <row r="161" ht="15.75" spans="1:9">
      <c r="A161" s="83"/>
      <c r="B161" s="83"/>
      <c r="C161" s="171"/>
      <c r="D161" s="108" t="s">
        <v>268</v>
      </c>
      <c r="E161" s="15">
        <v>6251</v>
      </c>
      <c r="F161" s="170" t="s">
        <v>29</v>
      </c>
      <c r="G161" s="43">
        <f t="shared" si="6"/>
        <v>0.36962163</v>
      </c>
      <c r="H161" s="170" t="s">
        <v>29</v>
      </c>
      <c r="I161" s="20">
        <f>G161</f>
        <v>0.36962163</v>
      </c>
    </row>
    <row r="162" ht="15.75" spans="1:9">
      <c r="A162" s="83"/>
      <c r="B162" s="83"/>
      <c r="C162" s="172"/>
      <c r="D162" s="108" t="s">
        <v>263</v>
      </c>
      <c r="E162" s="15">
        <v>22393</v>
      </c>
      <c r="F162" s="19">
        <v>5858</v>
      </c>
      <c r="G162" s="43">
        <f t="shared" si="6"/>
        <v>1.32409809</v>
      </c>
      <c r="H162" s="20">
        <v>0.0578606003747181</v>
      </c>
      <c r="I162" s="20">
        <f>G162+H162</f>
        <v>1.38195869037472</v>
      </c>
    </row>
    <row r="163" ht="15.75" spans="1:9">
      <c r="A163" s="83"/>
      <c r="B163" s="83"/>
      <c r="C163" s="169" t="s">
        <v>260</v>
      </c>
      <c r="D163" s="108" t="s">
        <v>269</v>
      </c>
      <c r="E163" s="15">
        <v>12376</v>
      </c>
      <c r="F163" s="170" t="s">
        <v>29</v>
      </c>
      <c r="G163" s="43">
        <f t="shared" si="6"/>
        <v>0.73179288</v>
      </c>
      <c r="H163" s="170" t="s">
        <v>29</v>
      </c>
      <c r="I163" s="20">
        <f t="shared" ref="I163:I164" si="9">G163</f>
        <v>0.73179288</v>
      </c>
    </row>
    <row r="164" ht="15.75" spans="1:9">
      <c r="A164" s="84"/>
      <c r="B164" s="84"/>
      <c r="C164" s="172"/>
      <c r="D164" s="108" t="s">
        <v>251</v>
      </c>
      <c r="E164" s="15">
        <v>3920</v>
      </c>
      <c r="F164" s="170" t="s">
        <v>29</v>
      </c>
      <c r="G164" s="43">
        <f t="shared" si="6"/>
        <v>0.2317896</v>
      </c>
      <c r="H164" s="170" t="s">
        <v>29</v>
      </c>
      <c r="I164" s="20">
        <f t="shared" si="9"/>
        <v>0.2317896</v>
      </c>
    </row>
    <row r="165" ht="15.75" spans="1:9">
      <c r="A165" s="70">
        <v>4</v>
      </c>
      <c r="B165" s="70">
        <v>2011</v>
      </c>
      <c r="C165" s="109" t="s">
        <v>48</v>
      </c>
      <c r="D165" s="72" t="s">
        <v>152</v>
      </c>
      <c r="E165" s="71">
        <v>14120</v>
      </c>
      <c r="F165" s="19">
        <v>1334</v>
      </c>
      <c r="G165" s="43">
        <f t="shared" si="6"/>
        <v>0.8349156</v>
      </c>
      <c r="H165" s="20">
        <v>0.02378619225</v>
      </c>
      <c r="I165" s="20">
        <f t="shared" ref="I165:I200" si="10">G165+H165</f>
        <v>0.85870179225</v>
      </c>
    </row>
    <row r="166" ht="15.75" spans="1:9">
      <c r="A166" s="83"/>
      <c r="B166" s="83"/>
      <c r="C166" s="169" t="s">
        <v>95</v>
      </c>
      <c r="D166" s="72" t="s">
        <v>55</v>
      </c>
      <c r="E166" s="71">
        <v>13630</v>
      </c>
      <c r="F166" s="19">
        <v>11134</v>
      </c>
      <c r="G166" s="43">
        <f t="shared" si="6"/>
        <v>0.8059419</v>
      </c>
      <c r="H166" s="20">
        <v>0.11110211275</v>
      </c>
      <c r="I166" s="20">
        <f t="shared" si="10"/>
        <v>0.91704401275</v>
      </c>
    </row>
    <row r="167" ht="15.75" spans="1:9">
      <c r="A167" s="83"/>
      <c r="B167" s="83"/>
      <c r="C167" s="171"/>
      <c r="D167" s="72" t="s">
        <v>257</v>
      </c>
      <c r="E167" s="71">
        <v>45256</v>
      </c>
      <c r="F167" s="19">
        <v>9139</v>
      </c>
      <c r="G167" s="43">
        <f t="shared" si="6"/>
        <v>2.67598728</v>
      </c>
      <c r="H167" s="20">
        <v>0.09314575525</v>
      </c>
      <c r="I167" s="20">
        <f t="shared" si="10"/>
        <v>2.76913303525</v>
      </c>
    </row>
    <row r="168" ht="15.75" spans="1:9">
      <c r="A168" s="83"/>
      <c r="B168" s="83"/>
      <c r="C168" s="171"/>
      <c r="D168" s="72" t="s">
        <v>258</v>
      </c>
      <c r="E168" s="71">
        <v>40561</v>
      </c>
      <c r="F168" s="19">
        <v>11437</v>
      </c>
      <c r="G168" s="43">
        <f t="shared" si="6"/>
        <v>2.39837193</v>
      </c>
      <c r="H168" s="20">
        <v>0.26942903875</v>
      </c>
      <c r="I168" s="20">
        <f t="shared" si="10"/>
        <v>2.66780096875</v>
      </c>
    </row>
    <row r="169" ht="15.75" spans="1:9">
      <c r="A169" s="83"/>
      <c r="B169" s="83"/>
      <c r="C169" s="172"/>
      <c r="D169" s="72" t="s">
        <v>264</v>
      </c>
      <c r="E169" s="71">
        <v>7216</v>
      </c>
      <c r="F169" s="19">
        <v>2085</v>
      </c>
      <c r="G169" s="43">
        <f t="shared" si="6"/>
        <v>0.42668208</v>
      </c>
      <c r="H169" s="20">
        <v>0.072168165</v>
      </c>
      <c r="I169" s="20">
        <f t="shared" si="10"/>
        <v>0.498850245</v>
      </c>
    </row>
    <row r="170" ht="15.75" spans="1:9">
      <c r="A170" s="83"/>
      <c r="B170" s="83"/>
      <c r="C170" s="169" t="s">
        <v>58</v>
      </c>
      <c r="D170" s="108" t="s">
        <v>265</v>
      </c>
      <c r="E170" s="71">
        <v>8239</v>
      </c>
      <c r="F170" s="19">
        <v>4575</v>
      </c>
      <c r="G170" s="43">
        <f t="shared" si="6"/>
        <v>0.48717207</v>
      </c>
      <c r="H170" s="20">
        <v>0.059577417</v>
      </c>
      <c r="I170" s="20">
        <f t="shared" si="10"/>
        <v>0.546749487</v>
      </c>
    </row>
    <row r="171" ht="15.75" spans="1:9">
      <c r="A171" s="83"/>
      <c r="B171" s="83"/>
      <c r="C171" s="171"/>
      <c r="D171" s="72" t="s">
        <v>266</v>
      </c>
      <c r="E171" s="71">
        <v>27158</v>
      </c>
      <c r="F171" s="19">
        <v>5240</v>
      </c>
      <c r="G171" s="43">
        <f t="shared" si="6"/>
        <v>1.60585254</v>
      </c>
      <c r="H171" s="20">
        <v>0.085832159</v>
      </c>
      <c r="I171" s="20">
        <f t="shared" si="10"/>
        <v>1.691684699</v>
      </c>
    </row>
    <row r="172" ht="15.75" spans="1:9">
      <c r="A172" s="83"/>
      <c r="B172" s="83"/>
      <c r="C172" s="171"/>
      <c r="D172" s="72" t="s">
        <v>156</v>
      </c>
      <c r="E172" s="71">
        <v>22690</v>
      </c>
      <c r="F172" s="19">
        <v>9261</v>
      </c>
      <c r="G172" s="43">
        <f t="shared" si="6"/>
        <v>1.3416597</v>
      </c>
      <c r="H172" s="20">
        <v>0.17653128275</v>
      </c>
      <c r="I172" s="20">
        <f t="shared" si="10"/>
        <v>1.51819098275</v>
      </c>
    </row>
    <row r="173" ht="15.75" spans="1:9">
      <c r="A173" s="83"/>
      <c r="B173" s="83"/>
      <c r="C173" s="172"/>
      <c r="D173" s="72" t="s">
        <v>259</v>
      </c>
      <c r="E173" s="71">
        <v>365253</v>
      </c>
      <c r="F173" s="19">
        <v>98903</v>
      </c>
      <c r="G173" s="43">
        <f t="shared" si="6"/>
        <v>21.59740989</v>
      </c>
      <c r="H173" s="20">
        <v>1.0826517215</v>
      </c>
      <c r="I173" s="20">
        <f t="shared" si="10"/>
        <v>22.6800616115</v>
      </c>
    </row>
    <row r="174" ht="15.75" spans="1:9">
      <c r="A174" s="83"/>
      <c r="B174" s="83"/>
      <c r="C174" s="169" t="s">
        <v>256</v>
      </c>
      <c r="D174" s="108" t="s">
        <v>248</v>
      </c>
      <c r="E174" s="71">
        <v>28431</v>
      </c>
      <c r="F174" s="19">
        <v>31735</v>
      </c>
      <c r="G174" s="43">
        <f t="shared" si="6"/>
        <v>1.68112503</v>
      </c>
      <c r="H174" s="20">
        <v>0.20986465225</v>
      </c>
      <c r="I174" s="20">
        <f t="shared" si="10"/>
        <v>1.89098968225</v>
      </c>
    </row>
    <row r="175" ht="15.75" spans="1:9">
      <c r="A175" s="83"/>
      <c r="B175" s="83"/>
      <c r="C175" s="171"/>
      <c r="D175" s="108" t="s">
        <v>261</v>
      </c>
      <c r="E175" s="71">
        <v>85317</v>
      </c>
      <c r="F175" s="19">
        <v>37239</v>
      </c>
      <c r="G175" s="43">
        <f t="shared" si="6"/>
        <v>5.04479421</v>
      </c>
      <c r="H175" s="20">
        <v>0.267384984</v>
      </c>
      <c r="I175" s="20">
        <f t="shared" si="10"/>
        <v>5.312179194</v>
      </c>
    </row>
    <row r="176" ht="15.75" spans="1:9">
      <c r="A176" s="83"/>
      <c r="B176" s="83"/>
      <c r="C176" s="171"/>
      <c r="D176" s="108" t="s">
        <v>262</v>
      </c>
      <c r="E176" s="71">
        <v>7680</v>
      </c>
      <c r="F176" s="19">
        <v>6313</v>
      </c>
      <c r="G176" s="43">
        <f t="shared" si="6"/>
        <v>0.4541184</v>
      </c>
      <c r="H176" s="20">
        <v>0.0315796905</v>
      </c>
      <c r="I176" s="20">
        <f t="shared" si="10"/>
        <v>0.4856980905</v>
      </c>
    </row>
    <row r="177" ht="15.75" spans="1:9">
      <c r="A177" s="83"/>
      <c r="B177" s="83"/>
      <c r="C177" s="171"/>
      <c r="D177" s="108" t="s">
        <v>267</v>
      </c>
      <c r="E177" s="71">
        <v>17400</v>
      </c>
      <c r="F177" s="19">
        <v>9011</v>
      </c>
      <c r="G177" s="43">
        <f t="shared" si="6"/>
        <v>1.028862</v>
      </c>
      <c r="H177" s="20">
        <v>0.081488878</v>
      </c>
      <c r="I177" s="20">
        <f t="shared" si="10"/>
        <v>1.110350878</v>
      </c>
    </row>
    <row r="178" ht="15.75" spans="1:9">
      <c r="A178" s="83"/>
      <c r="B178" s="83"/>
      <c r="C178" s="171"/>
      <c r="D178" s="108" t="s">
        <v>246</v>
      </c>
      <c r="E178" s="71">
        <v>33071</v>
      </c>
      <c r="F178" s="19">
        <v>42137</v>
      </c>
      <c r="G178" s="43">
        <f t="shared" si="6"/>
        <v>1.95548823</v>
      </c>
      <c r="H178" s="20">
        <v>0.078303085</v>
      </c>
      <c r="I178" s="20">
        <f t="shared" si="10"/>
        <v>2.033791315</v>
      </c>
    </row>
    <row r="179" ht="15.75" spans="1:9">
      <c r="A179" s="83"/>
      <c r="B179" s="83"/>
      <c r="C179" s="171"/>
      <c r="D179" s="108" t="s">
        <v>268</v>
      </c>
      <c r="E179" s="71">
        <v>5334</v>
      </c>
      <c r="F179" s="19">
        <v>815</v>
      </c>
      <c r="G179" s="43">
        <f t="shared" si="6"/>
        <v>0.31539942</v>
      </c>
      <c r="H179" s="20">
        <v>0.015249846</v>
      </c>
      <c r="I179" s="20">
        <f t="shared" si="10"/>
        <v>0.330649266</v>
      </c>
    </row>
    <row r="180" ht="15.75" spans="1:9">
      <c r="A180" s="83"/>
      <c r="B180" s="83"/>
      <c r="C180" s="172"/>
      <c r="D180" s="108" t="s">
        <v>263</v>
      </c>
      <c r="E180" s="71">
        <v>23514</v>
      </c>
      <c r="F180" s="19">
        <v>9262</v>
      </c>
      <c r="G180" s="43">
        <f t="shared" si="6"/>
        <v>1.39038282</v>
      </c>
      <c r="H180" s="20">
        <v>0.13131121375</v>
      </c>
      <c r="I180" s="20">
        <f t="shared" si="10"/>
        <v>1.52169403375</v>
      </c>
    </row>
    <row r="181" ht="15.75" spans="1:9">
      <c r="A181" s="83"/>
      <c r="B181" s="83"/>
      <c r="C181" s="169" t="s">
        <v>260</v>
      </c>
      <c r="D181" s="108" t="s">
        <v>269</v>
      </c>
      <c r="E181" s="71">
        <v>11367</v>
      </c>
      <c r="F181" s="19">
        <v>1628</v>
      </c>
      <c r="G181" s="43">
        <f t="shared" si="6"/>
        <v>0.67213071</v>
      </c>
      <c r="H181" s="20">
        <v>0.024239796</v>
      </c>
      <c r="I181" s="20">
        <f t="shared" si="10"/>
        <v>0.696370506</v>
      </c>
    </row>
    <row r="182" ht="15.75" spans="1:9">
      <c r="A182" s="84"/>
      <c r="B182" s="84"/>
      <c r="C182" s="172"/>
      <c r="D182" s="108" t="s">
        <v>251</v>
      </c>
      <c r="E182" s="71">
        <v>4954</v>
      </c>
      <c r="F182" s="19">
        <v>3156</v>
      </c>
      <c r="G182" s="43">
        <f t="shared" si="6"/>
        <v>0.29293002</v>
      </c>
      <c r="H182" s="20">
        <v>0.073896805</v>
      </c>
      <c r="I182" s="20">
        <f t="shared" si="10"/>
        <v>0.366826825</v>
      </c>
    </row>
    <row r="183" ht="15.75" spans="1:9">
      <c r="A183" s="71">
        <v>5</v>
      </c>
      <c r="B183" s="71">
        <v>2050</v>
      </c>
      <c r="C183" s="147" t="s">
        <v>227</v>
      </c>
      <c r="D183" s="72" t="s">
        <v>152</v>
      </c>
      <c r="E183" s="71">
        <v>16159</v>
      </c>
      <c r="F183" s="19">
        <v>8159</v>
      </c>
      <c r="G183" s="43">
        <f t="shared" si="6"/>
        <v>0.95548167</v>
      </c>
      <c r="H183" s="20">
        <v>0.145510952142857</v>
      </c>
      <c r="I183" s="20">
        <f t="shared" si="10"/>
        <v>1.10099262214286</v>
      </c>
    </row>
    <row r="184" ht="15.75" spans="1:9">
      <c r="A184" s="71"/>
      <c r="B184" s="71"/>
      <c r="C184" s="147" t="s">
        <v>95</v>
      </c>
      <c r="D184" s="72" t="s">
        <v>55</v>
      </c>
      <c r="E184" s="71">
        <v>16190</v>
      </c>
      <c r="F184" s="19">
        <v>3226</v>
      </c>
      <c r="G184" s="43">
        <f t="shared" si="6"/>
        <v>0.9573147</v>
      </c>
      <c r="H184" s="20">
        <v>0.0710308510714286</v>
      </c>
      <c r="I184" s="20">
        <f t="shared" si="10"/>
        <v>1.02834555107143</v>
      </c>
    </row>
    <row r="185" ht="15.75" spans="1:9">
      <c r="A185" s="71"/>
      <c r="B185" s="71"/>
      <c r="C185" s="147"/>
      <c r="D185" s="72" t="s">
        <v>257</v>
      </c>
      <c r="E185" s="71">
        <v>52781</v>
      </c>
      <c r="F185" s="19">
        <v>1306</v>
      </c>
      <c r="G185" s="43">
        <f t="shared" si="6"/>
        <v>3.12094053</v>
      </c>
      <c r="H185" s="20">
        <v>0.0489601614285714</v>
      </c>
      <c r="I185" s="20">
        <f t="shared" si="10"/>
        <v>3.16990069142857</v>
      </c>
    </row>
    <row r="186" ht="15.75" spans="1:9">
      <c r="A186" s="71"/>
      <c r="B186" s="71"/>
      <c r="C186" s="147"/>
      <c r="D186" s="72" t="s">
        <v>258</v>
      </c>
      <c r="E186" s="71">
        <v>48709</v>
      </c>
      <c r="F186" s="19">
        <v>9204</v>
      </c>
      <c r="G186" s="43">
        <f t="shared" si="6"/>
        <v>2.88016317</v>
      </c>
      <c r="H186" s="20">
        <v>0.170056068035714</v>
      </c>
      <c r="I186" s="20">
        <f t="shared" si="10"/>
        <v>3.05021923803571</v>
      </c>
    </row>
    <row r="187" ht="15.75" spans="1:9">
      <c r="A187" s="71"/>
      <c r="B187" s="71"/>
      <c r="C187" s="147"/>
      <c r="D187" s="72" t="s">
        <v>264</v>
      </c>
      <c r="E187" s="71">
        <v>8268</v>
      </c>
      <c r="F187" s="19">
        <v>27767</v>
      </c>
      <c r="G187" s="43">
        <f t="shared" si="6"/>
        <v>0.48888684</v>
      </c>
      <c r="H187" s="20">
        <v>0.0627050185714286</v>
      </c>
      <c r="I187" s="20">
        <f t="shared" si="10"/>
        <v>0.551591858571429</v>
      </c>
    </row>
    <row r="188" ht="15.75" spans="1:9">
      <c r="A188" s="71"/>
      <c r="B188" s="71"/>
      <c r="C188" s="147" t="s">
        <v>58</v>
      </c>
      <c r="D188" s="108" t="s">
        <v>265</v>
      </c>
      <c r="E188" s="71">
        <v>9706</v>
      </c>
      <c r="F188" s="19">
        <v>1210</v>
      </c>
      <c r="G188" s="43">
        <f t="shared" si="6"/>
        <v>0.57391578</v>
      </c>
      <c r="H188" s="20">
        <v>0.0482893957142857</v>
      </c>
      <c r="I188" s="20">
        <f t="shared" si="10"/>
        <v>0.622205175714286</v>
      </c>
    </row>
    <row r="189" ht="15.75" spans="1:9">
      <c r="A189" s="71"/>
      <c r="B189" s="71"/>
      <c r="C189" s="147"/>
      <c r="D189" s="72" t="s">
        <v>266</v>
      </c>
      <c r="E189" s="71">
        <v>34134</v>
      </c>
      <c r="F189" s="19">
        <v>671</v>
      </c>
      <c r="G189" s="43">
        <f t="shared" si="6"/>
        <v>2.01834342</v>
      </c>
      <c r="H189" s="20">
        <v>0.0269119714285714</v>
      </c>
      <c r="I189" s="20">
        <f t="shared" si="10"/>
        <v>2.04525539142857</v>
      </c>
    </row>
    <row r="190" ht="15.75" spans="1:9">
      <c r="A190" s="71"/>
      <c r="B190" s="71"/>
      <c r="C190" s="147"/>
      <c r="D190" s="72" t="s">
        <v>156</v>
      </c>
      <c r="E190" s="71">
        <v>27060</v>
      </c>
      <c r="F190" s="19">
        <v>4108</v>
      </c>
      <c r="G190" s="43">
        <f t="shared" si="6"/>
        <v>1.6000578</v>
      </c>
      <c r="H190" s="20">
        <v>0.119659631607143</v>
      </c>
      <c r="I190" s="20">
        <f t="shared" si="10"/>
        <v>1.71971743160714</v>
      </c>
    </row>
    <row r="191" ht="15.75" spans="1:9">
      <c r="A191" s="71"/>
      <c r="B191" s="71"/>
      <c r="C191" s="147"/>
      <c r="D191" s="72" t="s">
        <v>259</v>
      </c>
      <c r="E191" s="71">
        <v>452320</v>
      </c>
      <c r="F191" s="19">
        <v>43523</v>
      </c>
      <c r="G191" s="43">
        <f t="shared" si="6"/>
        <v>26.7456816</v>
      </c>
      <c r="H191" s="20">
        <v>0.926414360535714</v>
      </c>
      <c r="I191" s="20">
        <f t="shared" si="10"/>
        <v>27.6720959605357</v>
      </c>
    </row>
    <row r="192" ht="15.75" spans="1:9">
      <c r="A192" s="71"/>
      <c r="B192" s="71"/>
      <c r="C192" s="147" t="s">
        <v>256</v>
      </c>
      <c r="D192" s="108" t="s">
        <v>248</v>
      </c>
      <c r="E192" s="71">
        <v>37697</v>
      </c>
      <c r="F192" s="19">
        <v>7430</v>
      </c>
      <c r="G192" s="43">
        <f t="shared" si="6"/>
        <v>2.22902361</v>
      </c>
      <c r="H192" s="20">
        <v>0.226040015714286</v>
      </c>
      <c r="I192" s="20">
        <f t="shared" si="10"/>
        <v>2.45506362571429</v>
      </c>
    </row>
    <row r="193" ht="15.75" spans="1:9">
      <c r="A193" s="71"/>
      <c r="B193" s="71"/>
      <c r="C193" s="147"/>
      <c r="D193" s="108" t="s">
        <v>261</v>
      </c>
      <c r="E193" s="71">
        <v>104001</v>
      </c>
      <c r="F193" s="19">
        <v>18050</v>
      </c>
      <c r="G193" s="43">
        <f t="shared" ref="G193:G200" si="11">E193*(162*365)/POWER(10,9)</f>
        <v>6.14957913</v>
      </c>
      <c r="H193" s="20">
        <v>0.273404266785714</v>
      </c>
      <c r="I193" s="20">
        <f t="shared" si="10"/>
        <v>6.42298339678571</v>
      </c>
    </row>
    <row r="194" ht="15.75" spans="1:9">
      <c r="A194" s="71"/>
      <c r="B194" s="71"/>
      <c r="C194" s="147"/>
      <c r="D194" s="108" t="s">
        <v>262</v>
      </c>
      <c r="E194" s="71">
        <v>7856</v>
      </c>
      <c r="F194" s="19">
        <v>937</v>
      </c>
      <c r="G194" s="43">
        <f t="shared" si="11"/>
        <v>0.46452528</v>
      </c>
      <c r="H194" s="20">
        <v>0.0254443585714286</v>
      </c>
      <c r="I194" s="20">
        <f t="shared" si="10"/>
        <v>0.489969638571429</v>
      </c>
    </row>
    <row r="195" ht="15.75" spans="1:9">
      <c r="A195" s="71"/>
      <c r="B195" s="71"/>
      <c r="C195" s="147"/>
      <c r="D195" s="108" t="s">
        <v>267</v>
      </c>
      <c r="E195" s="71">
        <v>16938</v>
      </c>
      <c r="F195" s="19">
        <v>3437</v>
      </c>
      <c r="G195" s="43">
        <f t="shared" si="11"/>
        <v>1.00154394</v>
      </c>
      <c r="H195" s="20">
        <v>0.0867041857142857</v>
      </c>
      <c r="I195" s="20">
        <f t="shared" si="10"/>
        <v>1.08824812571429</v>
      </c>
    </row>
    <row r="196" ht="15.75" spans="1:9">
      <c r="A196" s="71"/>
      <c r="B196" s="71"/>
      <c r="C196" s="147"/>
      <c r="D196" s="108" t="s">
        <v>246</v>
      </c>
      <c r="E196" s="71">
        <v>37673</v>
      </c>
      <c r="F196" s="19">
        <v>2898</v>
      </c>
      <c r="G196" s="43">
        <f t="shared" si="11"/>
        <v>2.22760449</v>
      </c>
      <c r="H196" s="20">
        <v>0.0782814457142857</v>
      </c>
      <c r="I196" s="20">
        <f t="shared" si="10"/>
        <v>2.30588593571429</v>
      </c>
    </row>
    <row r="197" ht="15.75" spans="1:9">
      <c r="A197" s="71"/>
      <c r="B197" s="71"/>
      <c r="C197" s="147"/>
      <c r="D197" s="108" t="s">
        <v>268</v>
      </c>
      <c r="E197" s="71">
        <v>4417</v>
      </c>
      <c r="F197" s="19">
        <v>3221</v>
      </c>
      <c r="G197" s="43">
        <f t="shared" si="11"/>
        <v>0.26117721</v>
      </c>
      <c r="H197" s="20">
        <v>0.05795533875</v>
      </c>
      <c r="I197" s="20">
        <f t="shared" si="10"/>
        <v>0.31913254875</v>
      </c>
    </row>
    <row r="198" ht="15.75" spans="1:9">
      <c r="A198" s="71"/>
      <c r="B198" s="71"/>
      <c r="C198" s="147"/>
      <c r="D198" s="108" t="s">
        <v>263</v>
      </c>
      <c r="E198" s="71">
        <v>28569</v>
      </c>
      <c r="F198" s="19">
        <v>4842</v>
      </c>
      <c r="G198" s="43">
        <f t="shared" si="11"/>
        <v>1.68928497</v>
      </c>
      <c r="H198" s="20">
        <v>0.143284295714286</v>
      </c>
      <c r="I198" s="20">
        <f t="shared" si="10"/>
        <v>1.83256926571429</v>
      </c>
    </row>
    <row r="199" ht="15.75" spans="1:9">
      <c r="A199" s="71"/>
      <c r="B199" s="71"/>
      <c r="C199" s="147" t="s">
        <v>250</v>
      </c>
      <c r="D199" s="108" t="s">
        <v>251</v>
      </c>
      <c r="E199" s="71">
        <v>5988</v>
      </c>
      <c r="F199" s="19">
        <v>6804</v>
      </c>
      <c r="G199" s="43">
        <f t="shared" si="11"/>
        <v>0.35407044</v>
      </c>
      <c r="H199" s="20">
        <v>0.139139903214286</v>
      </c>
      <c r="I199" s="20">
        <f t="shared" si="10"/>
        <v>0.493210343214286</v>
      </c>
    </row>
    <row r="200" ht="15.75" spans="1:9">
      <c r="A200" s="71"/>
      <c r="B200" s="71"/>
      <c r="C200" s="147"/>
      <c r="D200" s="108" t="s">
        <v>270</v>
      </c>
      <c r="E200" s="71">
        <v>10358</v>
      </c>
      <c r="F200" s="19">
        <v>1404</v>
      </c>
      <c r="G200" s="43">
        <f t="shared" si="11"/>
        <v>0.61246854</v>
      </c>
      <c r="H200" s="20">
        <v>0.0240385480357143</v>
      </c>
      <c r="I200" s="20">
        <f t="shared" si="10"/>
        <v>0.636507088035714</v>
      </c>
    </row>
    <row r="201" ht="15.75" spans="1:9">
      <c r="A201" s="115"/>
      <c r="B201" s="115"/>
      <c r="C201" s="173"/>
      <c r="D201" s="174"/>
      <c r="E201" s="115"/>
      <c r="F201" s="28"/>
      <c r="G201" s="117"/>
      <c r="H201" s="30"/>
      <c r="I201" s="30"/>
    </row>
    <row r="202" ht="18.75" spans="1:9">
      <c r="A202" s="39" t="s">
        <v>102</v>
      </c>
      <c r="B202" s="31"/>
      <c r="C202" s="31"/>
      <c r="D202" s="31"/>
      <c r="E202" s="31"/>
      <c r="F202" s="31"/>
      <c r="G202" s="31"/>
      <c r="H202" s="31"/>
      <c r="I202" s="31"/>
    </row>
    <row r="203" ht="26.4" customHeight="1" spans="1:9">
      <c r="A203" s="40" t="s">
        <v>7</v>
      </c>
      <c r="B203" s="40"/>
      <c r="C203" s="40"/>
      <c r="D203" s="129"/>
      <c r="E203" s="40"/>
      <c r="G203" s="8" t="s">
        <v>8</v>
      </c>
      <c r="H203" s="8"/>
      <c r="I203" s="8"/>
    </row>
    <row r="204" ht="47.25" spans="1:9">
      <c r="A204" s="9" t="s">
        <v>103</v>
      </c>
      <c r="B204" s="10" t="s">
        <v>104</v>
      </c>
      <c r="C204" s="9" t="s">
        <v>11</v>
      </c>
      <c r="D204" s="10" t="s">
        <v>12</v>
      </c>
      <c r="E204" s="10" t="s">
        <v>13</v>
      </c>
      <c r="F204" s="10" t="s">
        <v>84</v>
      </c>
      <c r="G204" s="10" t="s">
        <v>15</v>
      </c>
      <c r="H204" s="10" t="s">
        <v>16</v>
      </c>
      <c r="I204" s="10" t="s">
        <v>17</v>
      </c>
    </row>
    <row r="205" ht="15.75" spans="1:9">
      <c r="A205" s="9" t="s">
        <v>18</v>
      </c>
      <c r="B205" s="10" t="s">
        <v>19</v>
      </c>
      <c r="C205" s="9" t="s">
        <v>20</v>
      </c>
      <c r="D205" s="10" t="s">
        <v>21</v>
      </c>
      <c r="E205" s="10" t="s">
        <v>22</v>
      </c>
      <c r="F205" s="10" t="s">
        <v>23</v>
      </c>
      <c r="G205" s="10" t="s">
        <v>24</v>
      </c>
      <c r="H205" s="10" t="s">
        <v>25</v>
      </c>
      <c r="I205" s="10" t="s">
        <v>26</v>
      </c>
    </row>
    <row r="206" ht="15.75" spans="1:9">
      <c r="A206" s="71">
        <v>1</v>
      </c>
      <c r="B206" s="70">
        <v>2025</v>
      </c>
      <c r="C206" s="12" t="s">
        <v>33</v>
      </c>
      <c r="D206" s="149" t="s">
        <v>35</v>
      </c>
      <c r="E206" s="42">
        <v>63</v>
      </c>
      <c r="F206" s="75">
        <v>31</v>
      </c>
      <c r="G206" s="43">
        <f t="shared" ref="G206:G251" si="12">E206*(65.19*365)/POWER(10,9)</f>
        <v>0.00149904405</v>
      </c>
      <c r="H206" s="76">
        <v>0.000850760145192857</v>
      </c>
      <c r="I206" s="16">
        <f t="shared" ref="I206:I251" si="13">G206+H206</f>
        <v>0.00234980419519286</v>
      </c>
    </row>
    <row r="207" ht="15.75" spans="1:9">
      <c r="A207" s="71"/>
      <c r="B207" s="83"/>
      <c r="C207" s="11" t="s">
        <v>227</v>
      </c>
      <c r="D207" s="149" t="s">
        <v>151</v>
      </c>
      <c r="E207" s="42">
        <v>29885</v>
      </c>
      <c r="F207" s="75">
        <v>13760</v>
      </c>
      <c r="G207" s="43">
        <f t="shared" si="12"/>
        <v>0.71109414975</v>
      </c>
      <c r="H207" s="76">
        <v>0.3549400108608</v>
      </c>
      <c r="I207" s="16">
        <f t="shared" si="13"/>
        <v>1.0660341606108</v>
      </c>
    </row>
    <row r="208" ht="15.75" spans="1:9">
      <c r="A208" s="71"/>
      <c r="B208" s="83"/>
      <c r="C208" s="22"/>
      <c r="D208" s="149" t="s">
        <v>242</v>
      </c>
      <c r="E208" s="42">
        <v>99584</v>
      </c>
      <c r="F208" s="75">
        <v>49550</v>
      </c>
      <c r="G208" s="43">
        <f t="shared" si="12"/>
        <v>2.3695365504</v>
      </c>
      <c r="H208" s="76">
        <v>1.28933240507162</v>
      </c>
      <c r="I208" s="16">
        <f t="shared" si="13"/>
        <v>3.65886895547162</v>
      </c>
    </row>
    <row r="209" ht="15.75" spans="1:9">
      <c r="A209" s="71"/>
      <c r="B209" s="83"/>
      <c r="C209" s="23"/>
      <c r="D209" s="149" t="s">
        <v>152</v>
      </c>
      <c r="E209" s="42">
        <v>66221</v>
      </c>
      <c r="F209" s="75">
        <v>94330</v>
      </c>
      <c r="G209" s="43">
        <f t="shared" si="12"/>
        <v>1.57568565135</v>
      </c>
      <c r="H209" s="76">
        <v>0.825441095559828</v>
      </c>
      <c r="I209" s="16">
        <f t="shared" si="13"/>
        <v>2.40112674690983</v>
      </c>
    </row>
    <row r="210" ht="15.75" spans="1:9">
      <c r="A210" s="71"/>
      <c r="B210" s="83"/>
      <c r="C210" s="12" t="s">
        <v>95</v>
      </c>
      <c r="D210" s="149" t="s">
        <v>57</v>
      </c>
      <c r="E210" s="42">
        <v>35</v>
      </c>
      <c r="F210" s="75">
        <v>13</v>
      </c>
      <c r="G210" s="43">
        <f t="shared" si="12"/>
        <v>0.00083280225</v>
      </c>
      <c r="H210" s="76">
        <v>0.000428853125680357</v>
      </c>
      <c r="I210" s="16">
        <f t="shared" si="13"/>
        <v>0.00126165537568036</v>
      </c>
    </row>
    <row r="211" ht="15.75" spans="1:9">
      <c r="A211" s="71"/>
      <c r="B211" s="83"/>
      <c r="C211" s="17"/>
      <c r="D211" s="149" t="s">
        <v>77</v>
      </c>
      <c r="E211" s="42">
        <v>138786</v>
      </c>
      <c r="F211" s="75">
        <v>72035</v>
      </c>
      <c r="G211" s="43">
        <f t="shared" si="12"/>
        <v>3.3023226591</v>
      </c>
      <c r="H211" s="76">
        <v>1.0537674864675</v>
      </c>
      <c r="I211" s="16">
        <f t="shared" si="13"/>
        <v>4.3560901455675</v>
      </c>
    </row>
    <row r="212" ht="15.75" spans="1:9">
      <c r="A212" s="71"/>
      <c r="B212" s="83"/>
      <c r="C212" s="17"/>
      <c r="D212" s="149" t="s">
        <v>243</v>
      </c>
      <c r="E212" s="42">
        <v>32409</v>
      </c>
      <c r="F212" s="75">
        <v>41536</v>
      </c>
      <c r="G212" s="43">
        <f t="shared" si="12"/>
        <v>0.77115108915</v>
      </c>
      <c r="H212" s="76">
        <v>0.421678163869839</v>
      </c>
      <c r="I212" s="16">
        <f t="shared" si="13"/>
        <v>1.19282925301984</v>
      </c>
    </row>
    <row r="213" ht="15.75" spans="1:9">
      <c r="A213" s="71"/>
      <c r="B213" s="83"/>
      <c r="C213" s="21"/>
      <c r="D213" s="149" t="s">
        <v>50</v>
      </c>
      <c r="E213" s="42">
        <v>93282</v>
      </c>
      <c r="F213" s="75">
        <v>48926</v>
      </c>
      <c r="G213" s="43">
        <f t="shared" si="12"/>
        <v>2.2195845567</v>
      </c>
      <c r="H213" s="76">
        <v>1.53216168408164</v>
      </c>
      <c r="I213" s="16">
        <f t="shared" si="13"/>
        <v>3.75174624078164</v>
      </c>
    </row>
    <row r="214" ht="15.75" spans="1:9">
      <c r="A214" s="71"/>
      <c r="B214" s="83"/>
      <c r="C214" s="12" t="s">
        <v>58</v>
      </c>
      <c r="D214" s="149" t="s">
        <v>59</v>
      </c>
      <c r="E214" s="42">
        <v>13970</v>
      </c>
      <c r="F214" s="75">
        <v>22709</v>
      </c>
      <c r="G214" s="43">
        <f t="shared" si="12"/>
        <v>0.3324070695</v>
      </c>
      <c r="H214" s="76">
        <v>0.405145786906157</v>
      </c>
      <c r="I214" s="16">
        <f t="shared" si="13"/>
        <v>0.737552856406157</v>
      </c>
    </row>
    <row r="215" ht="15.75" spans="1:9">
      <c r="A215" s="71"/>
      <c r="B215" s="83"/>
      <c r="C215" s="17"/>
      <c r="D215" s="149" t="s">
        <v>156</v>
      </c>
      <c r="E215" s="42">
        <v>58045</v>
      </c>
      <c r="F215" s="75">
        <v>40181</v>
      </c>
      <c r="G215" s="43">
        <f t="shared" si="12"/>
        <v>1.38114304575</v>
      </c>
      <c r="H215" s="76">
        <v>1.3938087482155</v>
      </c>
      <c r="I215" s="16">
        <f t="shared" si="13"/>
        <v>2.7749517939655</v>
      </c>
    </row>
    <row r="216" ht="15.75" spans="1:9">
      <c r="A216" s="71"/>
      <c r="B216" s="83"/>
      <c r="C216" s="17"/>
      <c r="D216" s="149" t="s">
        <v>58</v>
      </c>
      <c r="E216" s="42">
        <v>172573</v>
      </c>
      <c r="F216" s="75">
        <v>37572</v>
      </c>
      <c r="G216" s="43">
        <f t="shared" si="12"/>
        <v>4.10626236255</v>
      </c>
      <c r="H216" s="76">
        <v>1.03880174075164</v>
      </c>
      <c r="I216" s="16">
        <f t="shared" si="13"/>
        <v>5.14506410330164</v>
      </c>
    </row>
    <row r="217" ht="15.75" spans="1:9">
      <c r="A217" s="71"/>
      <c r="B217" s="83"/>
      <c r="C217" s="17"/>
      <c r="D217" s="149" t="s">
        <v>157</v>
      </c>
      <c r="E217" s="42">
        <v>65231</v>
      </c>
      <c r="F217" s="75">
        <v>76527</v>
      </c>
      <c r="G217" s="43">
        <f t="shared" si="12"/>
        <v>1.55212924485</v>
      </c>
      <c r="H217" s="76">
        <v>1.62797730243802</v>
      </c>
      <c r="I217" s="16">
        <f t="shared" si="13"/>
        <v>3.18010654728802</v>
      </c>
    </row>
    <row r="218" ht="15.75" spans="1:9">
      <c r="A218" s="71"/>
      <c r="B218" s="83"/>
      <c r="C218" s="21"/>
      <c r="D218" s="149" t="s">
        <v>244</v>
      </c>
      <c r="E218" s="42">
        <v>277042</v>
      </c>
      <c r="F218" s="75">
        <v>435019</v>
      </c>
      <c r="G218" s="43">
        <f t="shared" si="12"/>
        <v>6.5920343127</v>
      </c>
      <c r="H218" s="76">
        <v>6.85758827107143</v>
      </c>
      <c r="I218" s="16">
        <f t="shared" si="13"/>
        <v>13.4496225837714</v>
      </c>
    </row>
    <row r="219" ht="15.75" spans="1:9">
      <c r="A219" s="71"/>
      <c r="B219" s="83"/>
      <c r="C219" s="12" t="s">
        <v>256</v>
      </c>
      <c r="D219" s="149" t="s">
        <v>248</v>
      </c>
      <c r="E219" s="42">
        <v>33226</v>
      </c>
      <c r="F219" s="75">
        <v>224368</v>
      </c>
      <c r="G219" s="43">
        <f t="shared" si="12"/>
        <v>0.7905910731</v>
      </c>
      <c r="H219" s="76">
        <v>2.97381041949451</v>
      </c>
      <c r="I219" s="16">
        <f t="shared" si="13"/>
        <v>3.76440149259451</v>
      </c>
    </row>
    <row r="220" ht="15.75" spans="1:9">
      <c r="A220" s="71"/>
      <c r="B220" s="83"/>
      <c r="C220" s="17"/>
      <c r="D220" s="149" t="s">
        <v>249</v>
      </c>
      <c r="E220" s="42">
        <v>56100</v>
      </c>
      <c r="F220" s="75">
        <v>240960</v>
      </c>
      <c r="G220" s="43">
        <f t="shared" si="12"/>
        <v>1.334863035</v>
      </c>
      <c r="H220" s="76">
        <v>4.76991698571429</v>
      </c>
      <c r="I220" s="16">
        <f t="shared" si="13"/>
        <v>6.10478002071429</v>
      </c>
    </row>
    <row r="221" ht="15.75" spans="1:9">
      <c r="A221" s="71"/>
      <c r="B221" s="83"/>
      <c r="C221" s="17"/>
      <c r="D221" s="13" t="s">
        <v>246</v>
      </c>
      <c r="E221" s="42">
        <v>35227</v>
      </c>
      <c r="F221" s="75">
        <v>70378</v>
      </c>
      <c r="G221" s="43">
        <f t="shared" si="12"/>
        <v>0.83820356745</v>
      </c>
      <c r="H221" s="76">
        <v>1.36522939818853</v>
      </c>
      <c r="I221" s="16">
        <f t="shared" si="13"/>
        <v>2.20343296563853</v>
      </c>
    </row>
    <row r="222" ht="15.75" spans="1:9">
      <c r="A222" s="71"/>
      <c r="B222" s="83"/>
      <c r="C222" s="21"/>
      <c r="D222" s="149" t="s">
        <v>247</v>
      </c>
      <c r="E222" s="42">
        <v>23538</v>
      </c>
      <c r="F222" s="75">
        <v>107100</v>
      </c>
      <c r="G222" s="43">
        <f t="shared" si="12"/>
        <v>0.5600714103</v>
      </c>
      <c r="H222" s="76">
        <v>1.12900852168991</v>
      </c>
      <c r="I222" s="16">
        <f t="shared" si="13"/>
        <v>1.68907993198991</v>
      </c>
    </row>
    <row r="223" ht="15.75" spans="1:9">
      <c r="A223" s="71"/>
      <c r="B223" s="83"/>
      <c r="C223" s="12" t="s">
        <v>245</v>
      </c>
      <c r="D223" s="149" t="s">
        <v>255</v>
      </c>
      <c r="E223" s="42">
        <v>1785</v>
      </c>
      <c r="F223" s="75">
        <v>4267</v>
      </c>
      <c r="G223" s="43">
        <f t="shared" si="12"/>
        <v>0.04247291475</v>
      </c>
      <c r="H223" s="76">
        <v>0.086774459543625</v>
      </c>
      <c r="I223" s="16">
        <f t="shared" si="13"/>
        <v>0.129247374293625</v>
      </c>
    </row>
    <row r="224" ht="15.75" spans="1:9">
      <c r="A224" s="71"/>
      <c r="B224" s="83"/>
      <c r="C224" s="21"/>
      <c r="D224" s="149" t="s">
        <v>254</v>
      </c>
      <c r="E224" s="42">
        <v>90663</v>
      </c>
      <c r="F224" s="75">
        <v>45253</v>
      </c>
      <c r="G224" s="43">
        <f t="shared" si="12"/>
        <v>2.15726715405</v>
      </c>
      <c r="H224" s="76">
        <v>1.38787352905429</v>
      </c>
      <c r="I224" s="16">
        <f t="shared" si="13"/>
        <v>3.54514068310429</v>
      </c>
    </row>
    <row r="225" ht="15.75" spans="1:9">
      <c r="A225" s="71"/>
      <c r="B225" s="83"/>
      <c r="C225" s="9" t="s">
        <v>250</v>
      </c>
      <c r="D225" s="149" t="s">
        <v>252</v>
      </c>
      <c r="E225" s="42">
        <v>5</v>
      </c>
      <c r="F225" s="75">
        <v>4</v>
      </c>
      <c r="G225" s="43">
        <f t="shared" si="12"/>
        <v>0.00011897175</v>
      </c>
      <c r="H225" s="76">
        <v>8.329370445e-5</v>
      </c>
      <c r="I225" s="16">
        <f t="shared" si="13"/>
        <v>0.00020226545445</v>
      </c>
    </row>
    <row r="226" ht="15.75" spans="1:9">
      <c r="A226" s="71"/>
      <c r="B226" s="83"/>
      <c r="C226" s="9"/>
      <c r="D226" s="149" t="s">
        <v>251</v>
      </c>
      <c r="E226" s="42">
        <v>111908</v>
      </c>
      <c r="F226" s="75">
        <v>93250</v>
      </c>
      <c r="G226" s="43">
        <f t="shared" si="12"/>
        <v>2.6627781198</v>
      </c>
      <c r="H226" s="76">
        <v>1.88110709536098</v>
      </c>
      <c r="I226" s="16">
        <f t="shared" si="13"/>
        <v>4.54388521516098</v>
      </c>
    </row>
    <row r="227" ht="15.75" spans="1:9">
      <c r="A227" s="71"/>
      <c r="B227" s="83"/>
      <c r="C227" s="9"/>
      <c r="D227" s="164" t="s">
        <v>253</v>
      </c>
      <c r="E227" s="42">
        <v>67330</v>
      </c>
      <c r="F227" s="75">
        <v>90720</v>
      </c>
      <c r="G227" s="43">
        <f t="shared" si="12"/>
        <v>1.6020735855</v>
      </c>
      <c r="H227" s="76">
        <v>2.794975794888</v>
      </c>
      <c r="I227" s="16">
        <f t="shared" si="13"/>
        <v>4.397049380388</v>
      </c>
    </row>
    <row r="228" ht="15.75" spans="1:9">
      <c r="A228" s="71"/>
      <c r="B228" s="84"/>
      <c r="C228" s="9"/>
      <c r="D228" s="149" t="s">
        <v>250</v>
      </c>
      <c r="E228" s="42">
        <v>2717</v>
      </c>
      <c r="F228" s="75">
        <v>6437</v>
      </c>
      <c r="G228" s="43">
        <f t="shared" si="12"/>
        <v>0.06464924895</v>
      </c>
      <c r="H228" s="76">
        <v>0.107313151885021</v>
      </c>
      <c r="I228" s="16">
        <f t="shared" si="13"/>
        <v>0.171962400835021</v>
      </c>
    </row>
    <row r="229" ht="15.75" spans="1:9">
      <c r="A229" s="71">
        <v>2</v>
      </c>
      <c r="B229" s="70">
        <v>2050</v>
      </c>
      <c r="C229" s="9" t="s">
        <v>33</v>
      </c>
      <c r="D229" s="149" t="s">
        <v>35</v>
      </c>
      <c r="E229" s="42">
        <v>111</v>
      </c>
      <c r="F229" s="75">
        <v>26</v>
      </c>
      <c r="G229" s="43">
        <f t="shared" si="12"/>
        <v>0.00264117285</v>
      </c>
      <c r="H229" s="76">
        <v>0.000624816495996428</v>
      </c>
      <c r="I229" s="16">
        <f t="shared" si="13"/>
        <v>0.00326598934599643</v>
      </c>
    </row>
    <row r="230" ht="15.75" spans="1:9">
      <c r="A230" s="71"/>
      <c r="B230" s="83"/>
      <c r="C230" s="10" t="s">
        <v>227</v>
      </c>
      <c r="D230" s="149" t="s">
        <v>151</v>
      </c>
      <c r="E230" s="42">
        <v>47365</v>
      </c>
      <c r="F230" s="75">
        <v>19139</v>
      </c>
      <c r="G230" s="43">
        <f t="shared" si="12"/>
        <v>1.12701938775</v>
      </c>
      <c r="H230" s="76">
        <v>0.585160938605714</v>
      </c>
      <c r="I230" s="16">
        <f t="shared" si="13"/>
        <v>1.71218032635571</v>
      </c>
    </row>
    <row r="231" ht="15.75" spans="1:9">
      <c r="A231" s="71"/>
      <c r="B231" s="83"/>
      <c r="C231" s="10"/>
      <c r="D231" s="149" t="s">
        <v>242</v>
      </c>
      <c r="E231" s="42">
        <v>157833</v>
      </c>
      <c r="F231" s="75">
        <v>51990</v>
      </c>
      <c r="G231" s="43">
        <f t="shared" si="12"/>
        <v>3.75553364355</v>
      </c>
      <c r="H231" s="76">
        <v>1.50580593393309</v>
      </c>
      <c r="I231" s="16">
        <f t="shared" si="13"/>
        <v>5.26133957748309</v>
      </c>
    </row>
    <row r="232" ht="15.75" spans="1:9">
      <c r="A232" s="71"/>
      <c r="B232" s="83"/>
      <c r="C232" s="10"/>
      <c r="D232" s="149" t="s">
        <v>152</v>
      </c>
      <c r="E232" s="42">
        <v>104955</v>
      </c>
      <c r="F232" s="75">
        <v>214352</v>
      </c>
      <c r="G232" s="43">
        <f t="shared" si="12"/>
        <v>2.49733600425</v>
      </c>
      <c r="H232" s="76">
        <v>1.20027046256861</v>
      </c>
      <c r="I232" s="16">
        <f t="shared" si="13"/>
        <v>3.69760646681861</v>
      </c>
    </row>
    <row r="233" ht="15.75" spans="1:9">
      <c r="A233" s="71"/>
      <c r="B233" s="83"/>
      <c r="C233" s="9" t="s">
        <v>95</v>
      </c>
      <c r="D233" s="149" t="s">
        <v>57</v>
      </c>
      <c r="E233" s="42">
        <v>46</v>
      </c>
      <c r="F233" s="75">
        <v>11</v>
      </c>
      <c r="G233" s="43">
        <f t="shared" si="12"/>
        <v>0.0010945401</v>
      </c>
      <c r="H233" s="76">
        <v>0.000364617948242857</v>
      </c>
      <c r="I233" s="16">
        <f t="shared" si="13"/>
        <v>0.00145915804824286</v>
      </c>
    </row>
    <row r="234" ht="15.75" spans="1:9">
      <c r="A234" s="71"/>
      <c r="B234" s="83"/>
      <c r="C234" s="9"/>
      <c r="D234" s="149" t="s">
        <v>77</v>
      </c>
      <c r="E234" s="42">
        <v>182899</v>
      </c>
      <c r="F234" s="75">
        <v>121715</v>
      </c>
      <c r="G234" s="43">
        <f t="shared" si="12"/>
        <v>4.35196282065</v>
      </c>
      <c r="H234" s="76">
        <v>0.89530261699935</v>
      </c>
      <c r="I234" s="16">
        <f t="shared" si="13"/>
        <v>5.24726543764935</v>
      </c>
    </row>
    <row r="235" ht="15.75" spans="1:9">
      <c r="A235" s="71"/>
      <c r="B235" s="83"/>
      <c r="C235" s="9"/>
      <c r="D235" s="149" t="s">
        <v>243</v>
      </c>
      <c r="E235" s="42">
        <v>42710</v>
      </c>
      <c r="F235" s="75">
        <v>80891</v>
      </c>
      <c r="G235" s="43">
        <f t="shared" si="12"/>
        <v>1.0162566885</v>
      </c>
      <c r="H235" s="76">
        <v>0.161732599458214</v>
      </c>
      <c r="I235" s="16">
        <f t="shared" si="13"/>
        <v>1.17798928795821</v>
      </c>
    </row>
    <row r="236" ht="15.75" spans="1:9">
      <c r="A236" s="71"/>
      <c r="B236" s="83"/>
      <c r="C236" s="9"/>
      <c r="D236" s="149" t="s">
        <v>50</v>
      </c>
      <c r="E236" s="42">
        <v>122932</v>
      </c>
      <c r="F236" s="75">
        <v>85151</v>
      </c>
      <c r="G236" s="43">
        <f t="shared" si="12"/>
        <v>2.9250870342</v>
      </c>
      <c r="H236" s="76">
        <v>2.72407136532359</v>
      </c>
      <c r="I236" s="16">
        <f t="shared" si="13"/>
        <v>5.64915839952359</v>
      </c>
    </row>
    <row r="237" ht="15.75" spans="1:9">
      <c r="A237" s="71"/>
      <c r="B237" s="83"/>
      <c r="C237" s="9" t="s">
        <v>58</v>
      </c>
      <c r="D237" s="149" t="s">
        <v>59</v>
      </c>
      <c r="E237" s="42">
        <v>15856</v>
      </c>
      <c r="F237" s="75">
        <v>40417</v>
      </c>
      <c r="G237" s="43">
        <f t="shared" si="12"/>
        <v>0.3772832136</v>
      </c>
      <c r="H237" s="76">
        <v>0.536085677675121</v>
      </c>
      <c r="I237" s="16">
        <f t="shared" si="13"/>
        <v>0.913368891275121</v>
      </c>
    </row>
    <row r="238" ht="15.75" spans="1:9">
      <c r="A238" s="71"/>
      <c r="B238" s="83"/>
      <c r="C238" s="9"/>
      <c r="D238" s="149" t="s">
        <v>156</v>
      </c>
      <c r="E238" s="42">
        <v>65878</v>
      </c>
      <c r="F238" s="75">
        <v>39723</v>
      </c>
      <c r="G238" s="43">
        <f t="shared" si="12"/>
        <v>1.5675241893</v>
      </c>
      <c r="H238" s="76">
        <v>1.369284159688</v>
      </c>
      <c r="I238" s="16">
        <f t="shared" si="13"/>
        <v>2.936808348988</v>
      </c>
    </row>
    <row r="239" ht="15.75" spans="1:9">
      <c r="A239" s="71"/>
      <c r="B239" s="83"/>
      <c r="C239" s="9"/>
      <c r="D239" s="149" t="s">
        <v>58</v>
      </c>
      <c r="E239" s="42">
        <v>195860</v>
      </c>
      <c r="F239" s="75">
        <v>9729</v>
      </c>
      <c r="G239" s="43">
        <f t="shared" si="12"/>
        <v>4.660361391</v>
      </c>
      <c r="H239" s="76">
        <v>0.0639197308730572</v>
      </c>
      <c r="I239" s="16">
        <f t="shared" si="13"/>
        <v>4.72428112187306</v>
      </c>
    </row>
    <row r="240" ht="15.75" spans="1:9">
      <c r="A240" s="71"/>
      <c r="B240" s="83"/>
      <c r="C240" s="9"/>
      <c r="D240" s="149" t="s">
        <v>157</v>
      </c>
      <c r="E240" s="42">
        <v>74033</v>
      </c>
      <c r="F240" s="75">
        <v>98130</v>
      </c>
      <c r="G240" s="43">
        <f t="shared" si="12"/>
        <v>1.76156711355</v>
      </c>
      <c r="H240" s="76">
        <v>1.94036134231311</v>
      </c>
      <c r="I240" s="16">
        <f t="shared" si="13"/>
        <v>3.70192845586311</v>
      </c>
    </row>
    <row r="241" ht="15.75" spans="1:9">
      <c r="A241" s="71"/>
      <c r="B241" s="83"/>
      <c r="C241" s="9"/>
      <c r="D241" s="149" t="s">
        <v>244</v>
      </c>
      <c r="E241" s="42">
        <v>314427</v>
      </c>
      <c r="F241" s="75">
        <v>706722</v>
      </c>
      <c r="G241" s="43">
        <f t="shared" si="12"/>
        <v>7.48158608745</v>
      </c>
      <c r="H241" s="76">
        <v>8.92092219071429</v>
      </c>
      <c r="I241" s="16">
        <f t="shared" si="13"/>
        <v>16.4025082781643</v>
      </c>
    </row>
    <row r="242" ht="15.75" spans="1:9">
      <c r="A242" s="71"/>
      <c r="B242" s="83"/>
      <c r="C242" s="9" t="s">
        <v>256</v>
      </c>
      <c r="D242" s="149" t="s">
        <v>248</v>
      </c>
      <c r="E242" s="42">
        <v>91435</v>
      </c>
      <c r="F242" s="75">
        <v>432432</v>
      </c>
      <c r="G242" s="43">
        <f t="shared" si="12"/>
        <v>2.17563639225</v>
      </c>
      <c r="H242" s="76">
        <v>4.09380408180166</v>
      </c>
      <c r="I242" s="16">
        <f t="shared" si="13"/>
        <v>6.26944047405166</v>
      </c>
    </row>
    <row r="243" ht="15.75" spans="1:9">
      <c r="A243" s="71"/>
      <c r="B243" s="83"/>
      <c r="C243" s="9"/>
      <c r="D243" s="149" t="s">
        <v>249</v>
      </c>
      <c r="E243" s="175">
        <v>154384</v>
      </c>
      <c r="F243" s="75">
        <v>307905</v>
      </c>
      <c r="G243" s="43">
        <f t="shared" si="12"/>
        <v>3.6734669304</v>
      </c>
      <c r="H243" s="76">
        <v>5.88688086071429</v>
      </c>
      <c r="I243" s="16">
        <f t="shared" si="13"/>
        <v>9.56034779111429</v>
      </c>
    </row>
    <row r="244" ht="15.75" spans="1:9">
      <c r="A244" s="71"/>
      <c r="B244" s="83"/>
      <c r="C244" s="9"/>
      <c r="D244" s="149" t="s">
        <v>246</v>
      </c>
      <c r="E244" s="42">
        <v>96941</v>
      </c>
      <c r="F244" s="75">
        <v>89739</v>
      </c>
      <c r="G244" s="43">
        <f t="shared" si="12"/>
        <v>2.30664808335</v>
      </c>
      <c r="H244" s="76">
        <v>1.4685050040504</v>
      </c>
      <c r="I244" s="16">
        <f t="shared" si="13"/>
        <v>3.7751530874004</v>
      </c>
    </row>
    <row r="245" ht="15.75" spans="1:9">
      <c r="A245" s="71"/>
      <c r="B245" s="83"/>
      <c r="C245" s="9"/>
      <c r="D245" s="149" t="s">
        <v>247</v>
      </c>
      <c r="E245" s="42">
        <v>64774</v>
      </c>
      <c r="F245" s="75">
        <v>269257</v>
      </c>
      <c r="G245" s="43">
        <f t="shared" si="12"/>
        <v>1.5412552269</v>
      </c>
      <c r="H245" s="76">
        <v>2.39199035708848</v>
      </c>
      <c r="I245" s="16">
        <f t="shared" si="13"/>
        <v>3.93324558398848</v>
      </c>
    </row>
    <row r="246" ht="15.75" spans="1:9">
      <c r="A246" s="71"/>
      <c r="B246" s="83"/>
      <c r="C246" s="9" t="s">
        <v>245</v>
      </c>
      <c r="D246" s="149" t="s">
        <v>255</v>
      </c>
      <c r="E246" s="42">
        <v>1951</v>
      </c>
      <c r="F246" s="75">
        <v>8122</v>
      </c>
      <c r="G246" s="43">
        <f t="shared" si="12"/>
        <v>0.04642277685</v>
      </c>
      <c r="H246" s="76">
        <v>0.15422712224675</v>
      </c>
      <c r="I246" s="16">
        <f t="shared" si="13"/>
        <v>0.20064989909675</v>
      </c>
    </row>
    <row r="247" ht="15.75" spans="1:9">
      <c r="A247" s="71"/>
      <c r="B247" s="83"/>
      <c r="C247" s="9"/>
      <c r="D247" s="149" t="s">
        <v>254</v>
      </c>
      <c r="E247" s="42">
        <v>99104</v>
      </c>
      <c r="F247" s="75">
        <v>47288</v>
      </c>
      <c r="G247" s="43">
        <f t="shared" si="12"/>
        <v>2.3581152624</v>
      </c>
      <c r="H247" s="76">
        <v>1.881246932744</v>
      </c>
      <c r="I247" s="16">
        <f t="shared" si="13"/>
        <v>4.239362195144</v>
      </c>
    </row>
    <row r="248" ht="15.75" spans="1:9">
      <c r="A248" s="71"/>
      <c r="B248" s="83"/>
      <c r="C248" s="9" t="s">
        <v>250</v>
      </c>
      <c r="D248" s="149" t="s">
        <v>252</v>
      </c>
      <c r="E248" s="42">
        <v>7</v>
      </c>
      <c r="F248" s="75">
        <v>7</v>
      </c>
      <c r="G248" s="43">
        <f t="shared" si="12"/>
        <v>0.00016656045</v>
      </c>
      <c r="H248" s="76">
        <v>0.000143003487135714</v>
      </c>
      <c r="I248" s="16">
        <f t="shared" si="13"/>
        <v>0.000309563937135714</v>
      </c>
    </row>
    <row r="249" ht="15.75" spans="1:9">
      <c r="A249" s="71"/>
      <c r="B249" s="83"/>
      <c r="C249" s="9"/>
      <c r="D249" s="149" t="s">
        <v>251</v>
      </c>
      <c r="E249" s="42">
        <v>143318</v>
      </c>
      <c r="F249" s="75">
        <v>139498</v>
      </c>
      <c r="G249" s="43">
        <f t="shared" si="12"/>
        <v>3.4101586533</v>
      </c>
      <c r="H249" s="76">
        <v>2.65189649983205</v>
      </c>
      <c r="I249" s="16">
        <f t="shared" si="13"/>
        <v>6.06205515313205</v>
      </c>
    </row>
    <row r="250" ht="15.75" spans="1:9">
      <c r="A250" s="71"/>
      <c r="B250" s="83"/>
      <c r="C250" s="9"/>
      <c r="D250" s="164" t="s">
        <v>253</v>
      </c>
      <c r="E250" s="42">
        <v>86228</v>
      </c>
      <c r="F250" s="75">
        <v>143138</v>
      </c>
      <c r="G250" s="43">
        <f t="shared" si="12"/>
        <v>2.0517392118</v>
      </c>
      <c r="H250" s="76">
        <v>4.62920877753086</v>
      </c>
      <c r="I250" s="16">
        <f t="shared" si="13"/>
        <v>6.68094798933086</v>
      </c>
    </row>
    <row r="251" ht="15.75" spans="1:9">
      <c r="A251" s="71"/>
      <c r="B251" s="84"/>
      <c r="C251" s="9"/>
      <c r="D251" s="149" t="s">
        <v>250</v>
      </c>
      <c r="E251" s="42">
        <v>3480</v>
      </c>
      <c r="F251" s="75">
        <v>11072</v>
      </c>
      <c r="G251" s="43">
        <f t="shared" si="12"/>
        <v>0.082804338</v>
      </c>
      <c r="H251" s="76">
        <v>0.162198044465736</v>
      </c>
      <c r="I251" s="16">
        <f t="shared" si="13"/>
        <v>0.245002382465736</v>
      </c>
    </row>
    <row r="252" ht="15.75" spans="1:9">
      <c r="A252" s="115"/>
      <c r="B252" s="115"/>
      <c r="C252" s="173"/>
      <c r="D252" s="174"/>
      <c r="E252" s="115"/>
      <c r="F252" s="28"/>
      <c r="G252" s="117"/>
      <c r="H252" s="30"/>
      <c r="I252" s="30"/>
    </row>
    <row r="253" ht="15.75" spans="1:9">
      <c r="A253" s="4" t="s">
        <v>81</v>
      </c>
      <c r="B253" s="4"/>
      <c r="C253" s="4"/>
      <c r="D253" s="32"/>
      <c r="F253" s="40"/>
      <c r="G253" s="41" t="s">
        <v>8</v>
      </c>
      <c r="H253" s="41"/>
      <c r="I253" s="41"/>
    </row>
    <row r="254" ht="78.75" spans="1:9">
      <c r="A254" s="35" t="s">
        <v>103</v>
      </c>
      <c r="B254" s="35" t="s">
        <v>104</v>
      </c>
      <c r="C254" s="35" t="s">
        <v>11</v>
      </c>
      <c r="D254" s="35" t="s">
        <v>106</v>
      </c>
      <c r="E254" s="35" t="s">
        <v>13</v>
      </c>
      <c r="F254" s="35" t="s">
        <v>84</v>
      </c>
      <c r="G254" s="35" t="s">
        <v>15</v>
      </c>
      <c r="H254" s="35" t="s">
        <v>16</v>
      </c>
      <c r="I254" s="35" t="s">
        <v>17</v>
      </c>
    </row>
    <row r="255" ht="15.75" spans="1:9">
      <c r="A255" s="9" t="s">
        <v>18</v>
      </c>
      <c r="B255" s="10" t="s">
        <v>19</v>
      </c>
      <c r="C255" s="9" t="s">
        <v>20</v>
      </c>
      <c r="D255" s="10" t="s">
        <v>21</v>
      </c>
      <c r="E255" s="10" t="s">
        <v>22</v>
      </c>
      <c r="F255" s="10" t="s">
        <v>23</v>
      </c>
      <c r="G255" s="10" t="s">
        <v>24</v>
      </c>
      <c r="H255" s="10" t="s">
        <v>25</v>
      </c>
      <c r="I255" s="10" t="s">
        <v>26</v>
      </c>
    </row>
    <row r="256" ht="15.75" spans="1:9">
      <c r="A256" s="70">
        <v>1</v>
      </c>
      <c r="B256" s="71">
        <v>2025</v>
      </c>
      <c r="C256" s="147" t="s">
        <v>227</v>
      </c>
      <c r="D256" s="72" t="s">
        <v>152</v>
      </c>
      <c r="E256" s="15">
        <v>17151</v>
      </c>
      <c r="F256" s="19">
        <v>11785</v>
      </c>
      <c r="G256" s="43">
        <f t="shared" ref="G256:G291" si="14">E256*(162*365)/POWER(10,9)</f>
        <v>1.01413863</v>
      </c>
      <c r="H256" s="20">
        <v>0.210182486428571</v>
      </c>
      <c r="I256" s="20">
        <f t="shared" ref="I256:I291" si="15">G256+H256</f>
        <v>1.22432111642857</v>
      </c>
    </row>
    <row r="257" ht="15.75" spans="1:9">
      <c r="A257" s="83"/>
      <c r="B257" s="71"/>
      <c r="C257" s="147" t="s">
        <v>95</v>
      </c>
      <c r="D257" s="72" t="s">
        <v>77</v>
      </c>
      <c r="E257" s="15">
        <v>17359</v>
      </c>
      <c r="F257" s="19">
        <v>1853</v>
      </c>
      <c r="G257" s="43">
        <f t="shared" si="14"/>
        <v>1.02643767</v>
      </c>
      <c r="H257" s="20">
        <v>0.0561517042857143</v>
      </c>
      <c r="I257" s="20">
        <f t="shared" si="15"/>
        <v>1.08258937428571</v>
      </c>
    </row>
    <row r="258" ht="15.75" spans="1:9">
      <c r="A258" s="83"/>
      <c r="B258" s="71"/>
      <c r="C258" s="147"/>
      <c r="D258" s="72" t="s">
        <v>257</v>
      </c>
      <c r="E258" s="15">
        <v>55820</v>
      </c>
      <c r="F258" s="19">
        <v>758</v>
      </c>
      <c r="G258" s="43">
        <f t="shared" si="14"/>
        <v>3.3006366</v>
      </c>
      <c r="H258" s="20">
        <v>0.0300457571428571</v>
      </c>
      <c r="I258" s="20">
        <f t="shared" si="15"/>
        <v>3.33068235714286</v>
      </c>
    </row>
    <row r="259" ht="15.75" spans="1:9">
      <c r="A259" s="83"/>
      <c r="B259" s="71"/>
      <c r="C259" s="147"/>
      <c r="D259" s="72" t="s">
        <v>258</v>
      </c>
      <c r="E259" s="15">
        <v>52134</v>
      </c>
      <c r="F259" s="19">
        <v>9408</v>
      </c>
      <c r="G259" s="43">
        <f t="shared" si="14"/>
        <v>3.08268342</v>
      </c>
      <c r="H259" s="20">
        <v>0.119399386607143</v>
      </c>
      <c r="I259" s="20">
        <f t="shared" si="15"/>
        <v>3.20208280660714</v>
      </c>
    </row>
    <row r="260" ht="15.75" spans="1:9">
      <c r="A260" s="83"/>
      <c r="B260" s="71"/>
      <c r="C260" s="147"/>
      <c r="D260" s="72" t="s">
        <v>264</v>
      </c>
      <c r="E260" s="15">
        <v>8689</v>
      </c>
      <c r="F260" s="19">
        <v>39055</v>
      </c>
      <c r="G260" s="43">
        <f t="shared" si="14"/>
        <v>0.51378057</v>
      </c>
      <c r="H260" s="20">
        <v>0.0547535978571428</v>
      </c>
      <c r="I260" s="20">
        <f t="shared" si="15"/>
        <v>0.568534167857143</v>
      </c>
    </row>
    <row r="261" ht="15.75" spans="1:9">
      <c r="A261" s="83"/>
      <c r="B261" s="71"/>
      <c r="C261" s="147" t="s">
        <v>58</v>
      </c>
      <c r="D261" s="176" t="s">
        <v>265</v>
      </c>
      <c r="E261" s="15">
        <v>10293</v>
      </c>
      <c r="F261" s="19">
        <v>936</v>
      </c>
      <c r="G261" s="43">
        <f t="shared" si="14"/>
        <v>0.60862509</v>
      </c>
      <c r="H261" s="20">
        <v>0.0375</v>
      </c>
      <c r="I261" s="20">
        <f t="shared" si="15"/>
        <v>0.64612509</v>
      </c>
    </row>
    <row r="262" ht="15.75" spans="1:9">
      <c r="A262" s="83"/>
      <c r="B262" s="71"/>
      <c r="C262" s="147"/>
      <c r="D262" s="72" t="s">
        <v>266</v>
      </c>
      <c r="E262" s="15">
        <v>36924</v>
      </c>
      <c r="F262" s="19">
        <v>255</v>
      </c>
      <c r="G262" s="43">
        <f t="shared" si="14"/>
        <v>2.18331612</v>
      </c>
      <c r="H262" s="20">
        <v>0.0102</v>
      </c>
      <c r="I262" s="20">
        <f t="shared" si="15"/>
        <v>2.19351612</v>
      </c>
    </row>
    <row r="263" ht="15.75" spans="1:9">
      <c r="A263" s="83"/>
      <c r="B263" s="71"/>
      <c r="C263" s="147"/>
      <c r="D263" s="72" t="s">
        <v>156</v>
      </c>
      <c r="E263" s="15">
        <v>28921</v>
      </c>
      <c r="F263" s="19">
        <v>2938</v>
      </c>
      <c r="G263" s="43">
        <f t="shared" si="14"/>
        <v>1.71009873</v>
      </c>
      <c r="H263" s="20">
        <v>0.0872675371428571</v>
      </c>
      <c r="I263" s="20">
        <f t="shared" si="15"/>
        <v>1.79736626714286</v>
      </c>
    </row>
    <row r="264" ht="15.75" spans="1:9">
      <c r="A264" s="83"/>
      <c r="B264" s="71"/>
      <c r="C264" s="147"/>
      <c r="D264" s="72" t="s">
        <v>259</v>
      </c>
      <c r="E264" s="15">
        <v>485218</v>
      </c>
      <c r="F264" s="19">
        <v>23581</v>
      </c>
      <c r="G264" s="43">
        <f t="shared" si="14"/>
        <v>28.69094034</v>
      </c>
      <c r="H264" s="20">
        <v>0.876951294285714</v>
      </c>
      <c r="I264" s="20">
        <f t="shared" si="15"/>
        <v>29.5678916342857</v>
      </c>
    </row>
    <row r="265" ht="15.75" spans="1:9">
      <c r="A265" s="83"/>
      <c r="B265" s="71"/>
      <c r="C265" s="147" t="s">
        <v>256</v>
      </c>
      <c r="D265" s="176" t="s">
        <v>248</v>
      </c>
      <c r="E265" s="15">
        <v>41954</v>
      </c>
      <c r="F265" s="19">
        <v>7142</v>
      </c>
      <c r="G265" s="43">
        <f t="shared" si="14"/>
        <v>2.48074002</v>
      </c>
      <c r="H265" s="20">
        <v>0.213502787142857</v>
      </c>
      <c r="I265" s="20">
        <f t="shared" si="15"/>
        <v>2.69424280714286</v>
      </c>
    </row>
    <row r="266" ht="15.75" spans="1:9">
      <c r="A266" s="83"/>
      <c r="B266" s="71"/>
      <c r="C266" s="147"/>
      <c r="D266" s="176" t="s">
        <v>261</v>
      </c>
      <c r="E266" s="15">
        <v>111474</v>
      </c>
      <c r="F266" s="19">
        <v>12263</v>
      </c>
      <c r="G266" s="43">
        <f t="shared" si="14"/>
        <v>6.59145762</v>
      </c>
      <c r="H266" s="20">
        <v>0.253767736071429</v>
      </c>
      <c r="I266" s="20">
        <f t="shared" si="15"/>
        <v>6.84522535607143</v>
      </c>
    </row>
    <row r="267" ht="15.75" spans="1:9">
      <c r="A267" s="83"/>
      <c r="B267" s="71"/>
      <c r="C267" s="147"/>
      <c r="D267" s="176" t="s">
        <v>262</v>
      </c>
      <c r="E267" s="15">
        <v>7926</v>
      </c>
      <c r="F267" s="19">
        <v>873</v>
      </c>
      <c r="G267" s="43">
        <f t="shared" si="14"/>
        <v>0.46866438</v>
      </c>
      <c r="H267" s="20">
        <v>0.0239339885714286</v>
      </c>
      <c r="I267" s="20">
        <f t="shared" si="15"/>
        <v>0.492598368571429</v>
      </c>
    </row>
    <row r="268" ht="15.75" spans="1:9">
      <c r="A268" s="83"/>
      <c r="B268" s="71"/>
      <c r="C268" s="147"/>
      <c r="D268" s="176" t="s">
        <v>267</v>
      </c>
      <c r="E268" s="15">
        <v>16753</v>
      </c>
      <c r="F268" s="19">
        <v>3564</v>
      </c>
      <c r="G268" s="43">
        <f t="shared" si="14"/>
        <v>0.99060489</v>
      </c>
      <c r="H268" s="20">
        <v>0.0883199885714286</v>
      </c>
      <c r="I268" s="20">
        <f t="shared" si="15"/>
        <v>1.07892487857143</v>
      </c>
    </row>
    <row r="269" ht="15.75" spans="1:9">
      <c r="A269" s="83"/>
      <c r="B269" s="71"/>
      <c r="C269" s="147"/>
      <c r="D269" s="176" t="s">
        <v>246</v>
      </c>
      <c r="E269" s="15">
        <v>39514</v>
      </c>
      <c r="F269" s="19">
        <v>2684</v>
      </c>
      <c r="G269" s="43">
        <f t="shared" si="14"/>
        <v>2.33646282</v>
      </c>
      <c r="H269" s="20">
        <v>0.0776461371428571</v>
      </c>
      <c r="I269" s="20">
        <f t="shared" si="15"/>
        <v>2.41410895714286</v>
      </c>
    </row>
    <row r="270" ht="15.75" spans="1:9">
      <c r="A270" s="83"/>
      <c r="B270" s="71"/>
      <c r="C270" s="147"/>
      <c r="D270" s="176" t="s">
        <v>268</v>
      </c>
      <c r="E270" s="15">
        <v>4050</v>
      </c>
      <c r="F270" s="19">
        <v>4210</v>
      </c>
      <c r="G270" s="43">
        <f t="shared" si="14"/>
        <v>0.2394765</v>
      </c>
      <c r="H270" s="20">
        <v>0.07543482375</v>
      </c>
      <c r="I270" s="20">
        <f t="shared" si="15"/>
        <v>0.31491132375</v>
      </c>
    </row>
    <row r="271" ht="15.75" spans="1:9">
      <c r="A271" s="83"/>
      <c r="B271" s="71"/>
      <c r="C271" s="147"/>
      <c r="D271" s="176" t="s">
        <v>263</v>
      </c>
      <c r="E271" s="15">
        <v>30591</v>
      </c>
      <c r="F271" s="19">
        <v>4746</v>
      </c>
      <c r="G271" s="43">
        <f t="shared" si="14"/>
        <v>1.80884583</v>
      </c>
      <c r="H271" s="20">
        <v>0.141500801428571</v>
      </c>
      <c r="I271" s="20">
        <f t="shared" si="15"/>
        <v>1.95034663142857</v>
      </c>
    </row>
    <row r="272" ht="15.75" spans="1:9">
      <c r="A272" s="83"/>
      <c r="B272" s="71"/>
      <c r="C272" s="147" t="s">
        <v>250</v>
      </c>
      <c r="D272" s="176" t="s">
        <v>269</v>
      </c>
      <c r="E272" s="15">
        <v>9954</v>
      </c>
      <c r="F272" s="19">
        <v>1476</v>
      </c>
      <c r="G272" s="43">
        <f t="shared" si="14"/>
        <v>0.58858002</v>
      </c>
      <c r="H272" s="20">
        <v>0.0243734616071429</v>
      </c>
      <c r="I272" s="20">
        <f t="shared" si="15"/>
        <v>0.612953481607143</v>
      </c>
    </row>
    <row r="273" ht="15.75" spans="1:9">
      <c r="A273" s="84"/>
      <c r="B273" s="71"/>
      <c r="C273" s="147"/>
      <c r="D273" s="176" t="s">
        <v>251</v>
      </c>
      <c r="E273" s="15">
        <v>6402</v>
      </c>
      <c r="F273" s="19">
        <v>8075</v>
      </c>
      <c r="G273" s="43">
        <f t="shared" si="14"/>
        <v>0.37855026</v>
      </c>
      <c r="H273" s="20">
        <v>0.159926079642857</v>
      </c>
      <c r="I273" s="20">
        <f t="shared" si="15"/>
        <v>0.538476339642857</v>
      </c>
    </row>
    <row r="274" ht="15.75" spans="1:9">
      <c r="A274" s="70">
        <v>2</v>
      </c>
      <c r="B274" s="71">
        <v>2050</v>
      </c>
      <c r="C274" s="147" t="s">
        <v>227</v>
      </c>
      <c r="D274" s="72" t="s">
        <v>152</v>
      </c>
      <c r="E274" s="177">
        <v>25638</v>
      </c>
      <c r="F274" s="19">
        <v>34449</v>
      </c>
      <c r="G274" s="43">
        <f t="shared" si="14"/>
        <v>1.51597494</v>
      </c>
      <c r="H274" s="20">
        <v>0.614379575714286</v>
      </c>
      <c r="I274" s="20">
        <f t="shared" si="15"/>
        <v>2.13035451571429</v>
      </c>
    </row>
    <row r="275" ht="15.75" spans="1:9">
      <c r="A275" s="83"/>
      <c r="B275" s="71"/>
      <c r="C275" s="147" t="s">
        <v>95</v>
      </c>
      <c r="D275" s="72" t="s">
        <v>55</v>
      </c>
      <c r="E275" s="177">
        <v>26558</v>
      </c>
      <c r="F275" s="19">
        <v>785</v>
      </c>
      <c r="G275" s="43">
        <f t="shared" si="14"/>
        <v>1.57037454</v>
      </c>
      <c r="H275" s="20">
        <v>0.00557886857142857</v>
      </c>
      <c r="I275" s="20">
        <f t="shared" si="15"/>
        <v>1.57595340857143</v>
      </c>
    </row>
    <row r="276" ht="15.75" spans="1:9">
      <c r="A276" s="83"/>
      <c r="B276" s="71"/>
      <c r="C276" s="147"/>
      <c r="D276" s="72" t="s">
        <v>257</v>
      </c>
      <c r="E276" s="177">
        <v>75192</v>
      </c>
      <c r="F276" s="19">
        <v>758</v>
      </c>
      <c r="G276" s="43">
        <f t="shared" si="14"/>
        <v>4.44610296</v>
      </c>
      <c r="H276" s="20">
        <v>0.0300457571428571</v>
      </c>
      <c r="I276" s="20">
        <f t="shared" si="15"/>
        <v>4.47614871714286</v>
      </c>
    </row>
    <row r="277" ht="15.75" spans="1:9">
      <c r="A277" s="83"/>
      <c r="B277" s="71"/>
      <c r="C277" s="147"/>
      <c r="D277" s="72" t="s">
        <v>258</v>
      </c>
      <c r="E277" s="177">
        <v>75676</v>
      </c>
      <c r="F277" s="19">
        <v>15780</v>
      </c>
      <c r="G277" s="43">
        <f t="shared" si="14"/>
        <v>4.47472188</v>
      </c>
      <c r="H277" s="20">
        <v>0.00746835625</v>
      </c>
      <c r="I277" s="20">
        <f t="shared" si="15"/>
        <v>4.48219023625</v>
      </c>
    </row>
    <row r="278" ht="15.75" spans="1:9">
      <c r="A278" s="83"/>
      <c r="B278" s="71"/>
      <c r="C278" s="147"/>
      <c r="D278" s="72" t="s">
        <v>264</v>
      </c>
      <c r="E278" s="177">
        <v>11319</v>
      </c>
      <c r="F278" s="19">
        <v>109948</v>
      </c>
      <c r="G278" s="43">
        <f t="shared" si="14"/>
        <v>0.66929247</v>
      </c>
      <c r="H278" s="20">
        <v>0.0100328201785714</v>
      </c>
      <c r="I278" s="20">
        <f t="shared" si="15"/>
        <v>0.679325290178571</v>
      </c>
    </row>
    <row r="279" ht="15.75" spans="1:9">
      <c r="A279" s="83"/>
      <c r="B279" s="71"/>
      <c r="C279" s="147" t="s">
        <v>58</v>
      </c>
      <c r="D279" s="176" t="s">
        <v>265</v>
      </c>
      <c r="E279" s="177">
        <v>13960</v>
      </c>
      <c r="F279" s="19">
        <v>936</v>
      </c>
      <c r="G279" s="43">
        <f t="shared" si="14"/>
        <v>0.8254548</v>
      </c>
      <c r="H279" s="20">
        <v>0.0375</v>
      </c>
      <c r="I279" s="20">
        <f t="shared" si="15"/>
        <v>0.8629548</v>
      </c>
    </row>
    <row r="280" ht="15.75" spans="1:9">
      <c r="A280" s="83"/>
      <c r="B280" s="71"/>
      <c r="C280" s="147"/>
      <c r="D280" s="72" t="s">
        <v>266</v>
      </c>
      <c r="E280" s="177">
        <v>54364</v>
      </c>
      <c r="F280" s="19">
        <v>255</v>
      </c>
      <c r="G280" s="43">
        <f t="shared" si="14"/>
        <v>3.21454332</v>
      </c>
      <c r="H280" s="20">
        <v>0.0102</v>
      </c>
      <c r="I280" s="20">
        <f t="shared" si="15"/>
        <v>3.22474332</v>
      </c>
    </row>
    <row r="281" ht="15.75" spans="1:9">
      <c r="A281" s="83"/>
      <c r="B281" s="71"/>
      <c r="C281" s="147"/>
      <c r="D281" s="72" t="s">
        <v>156</v>
      </c>
      <c r="E281" s="177">
        <v>42021</v>
      </c>
      <c r="F281" s="19">
        <v>971</v>
      </c>
      <c r="G281" s="43">
        <f t="shared" si="14"/>
        <v>2.48470173</v>
      </c>
      <c r="H281" s="20">
        <v>0.00638510142857143</v>
      </c>
      <c r="I281" s="20">
        <f t="shared" si="15"/>
        <v>2.49108683142857</v>
      </c>
    </row>
    <row r="282" ht="15.75" spans="1:9">
      <c r="A282" s="83"/>
      <c r="B282" s="71"/>
      <c r="C282" s="147"/>
      <c r="D282" s="72" t="s">
        <v>259</v>
      </c>
      <c r="E282" s="177">
        <v>665859</v>
      </c>
      <c r="F282" s="19">
        <v>17700</v>
      </c>
      <c r="G282" s="43">
        <f t="shared" si="14"/>
        <v>39.37224267</v>
      </c>
      <c r="H282" s="20">
        <v>0.7106</v>
      </c>
      <c r="I282" s="20">
        <f t="shared" si="15"/>
        <v>40.08284267</v>
      </c>
    </row>
    <row r="283" ht="15.75" spans="1:9">
      <c r="A283" s="83"/>
      <c r="B283" s="71"/>
      <c r="C283" s="147" t="s">
        <v>256</v>
      </c>
      <c r="D283" s="176" t="s">
        <v>248</v>
      </c>
      <c r="E283" s="177">
        <v>75687</v>
      </c>
      <c r="F283" s="19">
        <v>6401</v>
      </c>
      <c r="G283" s="43">
        <f t="shared" si="14"/>
        <v>4.47537231</v>
      </c>
      <c r="H283" s="20">
        <v>0.177801615714286</v>
      </c>
      <c r="I283" s="20">
        <f t="shared" si="15"/>
        <v>4.65317392571429</v>
      </c>
    </row>
    <row r="284" ht="15.75" spans="1:9">
      <c r="A284" s="83"/>
      <c r="B284" s="71"/>
      <c r="C284" s="147"/>
      <c r="D284" s="176" t="s">
        <v>261</v>
      </c>
      <c r="E284" s="177">
        <v>158183</v>
      </c>
      <c r="F284" s="19">
        <v>5790</v>
      </c>
      <c r="G284" s="43">
        <f t="shared" si="14"/>
        <v>9.35336079</v>
      </c>
      <c r="H284" s="20">
        <v>0.167390355714286</v>
      </c>
      <c r="I284" s="20">
        <f t="shared" si="15"/>
        <v>9.52075114571429</v>
      </c>
    </row>
    <row r="285" ht="15.75" spans="1:9">
      <c r="A285" s="83"/>
      <c r="B285" s="71"/>
      <c r="C285" s="147"/>
      <c r="D285" s="176" t="s">
        <v>262</v>
      </c>
      <c r="E285" s="177">
        <v>8366</v>
      </c>
      <c r="F285" s="19">
        <v>487</v>
      </c>
      <c r="G285" s="43">
        <f t="shared" si="14"/>
        <v>0.49468158</v>
      </c>
      <c r="H285" s="20">
        <v>0.0148037742857143</v>
      </c>
      <c r="I285" s="20">
        <f t="shared" si="15"/>
        <v>0.509485354285714</v>
      </c>
    </row>
    <row r="286" ht="15.75" spans="1:9">
      <c r="A286" s="83"/>
      <c r="B286" s="71"/>
      <c r="C286" s="147"/>
      <c r="D286" s="176" t="s">
        <v>267</v>
      </c>
      <c r="E286" s="177">
        <v>15598</v>
      </c>
      <c r="F286" s="19">
        <v>4675</v>
      </c>
      <c r="G286" s="43">
        <f t="shared" si="14"/>
        <v>0.92230974</v>
      </c>
      <c r="H286" s="20">
        <v>0.111109024285714</v>
      </c>
      <c r="I286" s="20">
        <f t="shared" si="15"/>
        <v>1.03341876428571</v>
      </c>
    </row>
    <row r="287" ht="15.75" spans="1:9">
      <c r="A287" s="83"/>
      <c r="B287" s="71"/>
      <c r="C287" s="147"/>
      <c r="D287" s="176" t="s">
        <v>246</v>
      </c>
      <c r="E287" s="177">
        <v>51019</v>
      </c>
      <c r="F287" s="19">
        <v>2171</v>
      </c>
      <c r="G287" s="43">
        <f t="shared" si="14"/>
        <v>3.01675347</v>
      </c>
      <c r="H287" s="20">
        <v>0.0791022785714286</v>
      </c>
      <c r="I287" s="20">
        <f t="shared" si="15"/>
        <v>3.09585574857143</v>
      </c>
    </row>
    <row r="288" ht="15.75" spans="1:9">
      <c r="A288" s="83"/>
      <c r="B288" s="71"/>
      <c r="C288" s="147"/>
      <c r="D288" s="176" t="s">
        <v>268</v>
      </c>
      <c r="E288" s="177">
        <v>1758</v>
      </c>
      <c r="F288" s="19">
        <v>10392</v>
      </c>
      <c r="G288" s="43">
        <f t="shared" si="14"/>
        <v>0.10395054</v>
      </c>
      <c r="H288" s="20">
        <v>0.184681605</v>
      </c>
      <c r="I288" s="20">
        <f t="shared" si="15"/>
        <v>0.288632145</v>
      </c>
    </row>
    <row r="289" ht="15.75" spans="1:9">
      <c r="A289" s="83"/>
      <c r="B289" s="71"/>
      <c r="C289" s="147"/>
      <c r="D289" s="176" t="s">
        <v>263</v>
      </c>
      <c r="E289" s="177">
        <v>43229</v>
      </c>
      <c r="F289" s="19">
        <v>5115</v>
      </c>
      <c r="G289" s="43">
        <f t="shared" si="14"/>
        <v>2.55613077</v>
      </c>
      <c r="H289" s="20">
        <v>0.157242208571429</v>
      </c>
      <c r="I289" s="20">
        <f t="shared" si="15"/>
        <v>2.71337297857143</v>
      </c>
    </row>
    <row r="290" ht="15.75" spans="1:9">
      <c r="A290" s="83"/>
      <c r="B290" s="71"/>
      <c r="C290" s="147" t="s">
        <v>250</v>
      </c>
      <c r="D290" s="176" t="s">
        <v>269</v>
      </c>
      <c r="E290" s="177">
        <v>74432</v>
      </c>
      <c r="F290" s="19">
        <v>1922</v>
      </c>
      <c r="G290" s="43">
        <f t="shared" si="14"/>
        <v>4.40116416</v>
      </c>
      <c r="H290" s="20">
        <v>0.0264666714285714</v>
      </c>
      <c r="I290" s="20">
        <f t="shared" si="15"/>
        <v>4.42763083142857</v>
      </c>
    </row>
    <row r="291" ht="15.75" spans="1:9">
      <c r="A291" s="84"/>
      <c r="B291" s="71"/>
      <c r="C291" s="147"/>
      <c r="D291" s="176" t="s">
        <v>251</v>
      </c>
      <c r="E291" s="178">
        <v>8987</v>
      </c>
      <c r="F291" s="19">
        <v>16044</v>
      </c>
      <c r="G291" s="43">
        <f t="shared" si="14"/>
        <v>0.53140131</v>
      </c>
      <c r="H291" s="20">
        <v>0.290327218035714</v>
      </c>
      <c r="I291" s="20">
        <f t="shared" si="15"/>
        <v>0.821728528035714</v>
      </c>
    </row>
    <row r="292" ht="15.75" spans="1:9">
      <c r="A292" s="115"/>
      <c r="B292" s="115"/>
      <c r="C292" s="173"/>
      <c r="D292" s="174"/>
      <c r="E292" s="115"/>
      <c r="F292" s="28"/>
      <c r="G292" s="117"/>
      <c r="H292" s="30"/>
      <c r="I292" s="30"/>
    </row>
    <row r="293" ht="30" customHeight="1" spans="1:9">
      <c r="A293" s="45" t="s">
        <v>108</v>
      </c>
      <c r="B293" s="7" t="s">
        <v>109</v>
      </c>
      <c r="C293" s="46"/>
      <c r="D293" s="46"/>
      <c r="E293" s="46"/>
      <c r="F293" s="46"/>
      <c r="G293" s="46"/>
      <c r="H293" s="46"/>
      <c r="I293" s="46"/>
    </row>
    <row r="294" ht="27.6" customHeight="1" spans="1:9">
      <c r="A294" s="46"/>
      <c r="B294" s="7" t="s">
        <v>110</v>
      </c>
      <c r="C294" s="47"/>
      <c r="D294" s="47"/>
      <c r="E294" s="47"/>
      <c r="F294" s="47"/>
      <c r="G294" s="47"/>
      <c r="H294" s="47"/>
      <c r="I294" s="47"/>
    </row>
    <row r="295" ht="15.75" spans="1:9">
      <c r="A295" s="179"/>
      <c r="B295" s="48" t="s">
        <v>111</v>
      </c>
      <c r="C295" s="180"/>
      <c r="D295" s="179"/>
      <c r="E295" s="179"/>
      <c r="F295" s="179"/>
      <c r="G295" s="179"/>
      <c r="H295" s="179"/>
      <c r="I295" s="179"/>
    </row>
    <row r="296" s="2" customFormat="1" ht="15" customHeight="1" spans="2:2">
      <c r="B296" s="49" t="s">
        <v>112</v>
      </c>
    </row>
    <row r="297" s="2" customFormat="1" ht="15" customHeight="1" spans="2:2">
      <c r="B297" s="50" t="s">
        <v>113</v>
      </c>
    </row>
    <row r="298" s="2" customFormat="1" ht="15" customHeight="1" spans="2:2">
      <c r="B298" s="50" t="s">
        <v>114</v>
      </c>
    </row>
    <row r="299" s="2" customFormat="1" spans="2:2">
      <c r="B299" s="51"/>
    </row>
    <row r="300" s="2" customFormat="1" spans="2:2">
      <c r="B300" s="49" t="s">
        <v>115</v>
      </c>
    </row>
    <row r="301" s="2" customFormat="1" ht="16.5" customHeight="1" spans="2:2">
      <c r="B301" s="50" t="s">
        <v>116</v>
      </c>
    </row>
    <row r="302" s="2" customFormat="1" ht="16.5" customHeight="1" spans="2:2">
      <c r="B302" s="50" t="s">
        <v>117</v>
      </c>
    </row>
    <row r="303" spans="2:2">
      <c r="B303" s="55"/>
    </row>
    <row r="304" spans="2:2">
      <c r="B304" s="49" t="s">
        <v>118</v>
      </c>
    </row>
    <row r="305" spans="2:2">
      <c r="B305" s="56" t="s">
        <v>119</v>
      </c>
    </row>
    <row r="306" spans="2:2">
      <c r="B306" s="56" t="s">
        <v>120</v>
      </c>
    </row>
    <row r="307" spans="2:2">
      <c r="B307" s="56" t="s">
        <v>121</v>
      </c>
    </row>
    <row r="308" spans="2:2">
      <c r="B308" s="56" t="s">
        <v>122</v>
      </c>
    </row>
    <row r="309" spans="2:2">
      <c r="B309" s="49" t="s">
        <v>123</v>
      </c>
    </row>
    <row r="310" spans="2:2">
      <c r="B310" s="49" t="s">
        <v>124</v>
      </c>
    </row>
    <row r="311" spans="2:2">
      <c r="B311" s="56" t="s">
        <v>125</v>
      </c>
    </row>
    <row r="312" spans="2:2">
      <c r="B312" s="56" t="s">
        <v>126</v>
      </c>
    </row>
    <row r="313" spans="2:2">
      <c r="B313" s="56" t="s">
        <v>127</v>
      </c>
    </row>
    <row r="314" spans="2:2">
      <c r="B314" s="56" t="s">
        <v>128</v>
      </c>
    </row>
    <row r="315" spans="2:2">
      <c r="B315" s="56" t="s">
        <v>129</v>
      </c>
    </row>
    <row r="316" spans="2:2">
      <c r="B316" s="56"/>
    </row>
    <row r="317" spans="2:2">
      <c r="B317" s="49" t="s">
        <v>130</v>
      </c>
    </row>
    <row r="318" ht="15.75" spans="2:2">
      <c r="B318" s="57"/>
    </row>
    <row r="319" spans="2:2">
      <c r="B319" s="58" t="s">
        <v>131</v>
      </c>
    </row>
    <row r="320" spans="2:2">
      <c r="B320" s="58" t="s">
        <v>132</v>
      </c>
    </row>
    <row r="321" spans="2:2">
      <c r="B321" s="59" t="s">
        <v>133</v>
      </c>
    </row>
    <row r="322" spans="2:2">
      <c r="B322" s="59"/>
    </row>
    <row r="323" ht="36" customHeight="1" spans="2:9">
      <c r="B323" s="119" t="s">
        <v>271</v>
      </c>
      <c r="C323" s="112"/>
      <c r="D323" s="112"/>
      <c r="E323" s="112"/>
      <c r="F323" s="112"/>
      <c r="G323" s="112"/>
      <c r="H323" s="112"/>
      <c r="I323" s="112"/>
    </row>
    <row r="324" ht="45.6" customHeight="1" spans="2:9">
      <c r="B324" s="112" t="s">
        <v>134</v>
      </c>
      <c r="C324" s="112"/>
      <c r="D324" s="112"/>
      <c r="E324" s="112"/>
      <c r="F324" s="112"/>
      <c r="G324" s="112"/>
      <c r="H324" s="112"/>
      <c r="I324" s="112"/>
    </row>
  </sheetData>
  <mergeCells count="99">
    <mergeCell ref="A2:I2"/>
    <mergeCell ref="A3:I3"/>
    <mergeCell ref="A4:I4"/>
    <mergeCell ref="A5:I5"/>
    <mergeCell ref="A6:I6"/>
    <mergeCell ref="A7:E7"/>
    <mergeCell ref="G7:I7"/>
    <mergeCell ref="G126:I126"/>
    <mergeCell ref="A202:I202"/>
    <mergeCell ref="G203:I203"/>
    <mergeCell ref="G253:I253"/>
    <mergeCell ref="B293:I293"/>
    <mergeCell ref="B294:I294"/>
    <mergeCell ref="B323:I323"/>
    <mergeCell ref="B324:I324"/>
    <mergeCell ref="A10:A32"/>
    <mergeCell ref="A33:A55"/>
    <mergeCell ref="A56:A78"/>
    <mergeCell ref="A79:A101"/>
    <mergeCell ref="A102:A124"/>
    <mergeCell ref="A129:A135"/>
    <mergeCell ref="A136:A146"/>
    <mergeCell ref="A147:A164"/>
    <mergeCell ref="A165:A182"/>
    <mergeCell ref="A183:A200"/>
    <mergeCell ref="A206:A228"/>
    <mergeCell ref="A229:A251"/>
    <mergeCell ref="A256:A273"/>
    <mergeCell ref="A274:A291"/>
    <mergeCell ref="B10:B32"/>
    <mergeCell ref="B33:B55"/>
    <mergeCell ref="B56:B78"/>
    <mergeCell ref="B79:B101"/>
    <mergeCell ref="B102:B124"/>
    <mergeCell ref="B129:B135"/>
    <mergeCell ref="B136:B146"/>
    <mergeCell ref="B147:B164"/>
    <mergeCell ref="B165:B182"/>
    <mergeCell ref="B183:B200"/>
    <mergeCell ref="B206:B228"/>
    <mergeCell ref="B229:B251"/>
    <mergeCell ref="B256:B273"/>
    <mergeCell ref="B274:B291"/>
    <mergeCell ref="C10:C21"/>
    <mergeCell ref="C23:C32"/>
    <mergeCell ref="C33:C44"/>
    <mergeCell ref="C46:C55"/>
    <mergeCell ref="C56:C58"/>
    <mergeCell ref="C59:C62"/>
    <mergeCell ref="C63:C67"/>
    <mergeCell ref="C68:C71"/>
    <mergeCell ref="C73:C78"/>
    <mergeCell ref="C79:C81"/>
    <mergeCell ref="C82:C85"/>
    <mergeCell ref="C86:C90"/>
    <mergeCell ref="C91:C94"/>
    <mergeCell ref="C96:C101"/>
    <mergeCell ref="C103:C105"/>
    <mergeCell ref="C106:C109"/>
    <mergeCell ref="C110:C114"/>
    <mergeCell ref="C115:C118"/>
    <mergeCell ref="C119:C120"/>
    <mergeCell ref="C121:C124"/>
    <mergeCell ref="C129:C131"/>
    <mergeCell ref="C132:C135"/>
    <mergeCell ref="C136:C141"/>
    <mergeCell ref="C142:C146"/>
    <mergeCell ref="C148:C151"/>
    <mergeCell ref="C152:C155"/>
    <mergeCell ref="C156:C162"/>
    <mergeCell ref="C163:C164"/>
    <mergeCell ref="C166:C169"/>
    <mergeCell ref="C170:C173"/>
    <mergeCell ref="C174:C180"/>
    <mergeCell ref="C181:C182"/>
    <mergeCell ref="C184:C187"/>
    <mergeCell ref="C188:C191"/>
    <mergeCell ref="C192:C198"/>
    <mergeCell ref="C199:C200"/>
    <mergeCell ref="C207:C209"/>
    <mergeCell ref="C210:C213"/>
    <mergeCell ref="C214:C218"/>
    <mergeCell ref="C219:C222"/>
    <mergeCell ref="C223:C224"/>
    <mergeCell ref="C225:C228"/>
    <mergeCell ref="C230:C232"/>
    <mergeCell ref="C233:C236"/>
    <mergeCell ref="C237:C241"/>
    <mergeCell ref="C242:C245"/>
    <mergeCell ref="C246:C247"/>
    <mergeCell ref="C248:C251"/>
    <mergeCell ref="C257:C260"/>
    <mergeCell ref="C261:C264"/>
    <mergeCell ref="C265:C271"/>
    <mergeCell ref="C272:C273"/>
    <mergeCell ref="C275:C278"/>
    <mergeCell ref="C279:C282"/>
    <mergeCell ref="C283:C289"/>
    <mergeCell ref="C290:C291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7" manualBreakCount="7">
    <brk id="27" max="8" man="1"/>
    <brk id="51" max="8" man="1"/>
    <brk id="76" max="8" man="1"/>
    <brk id="101" max="8" man="1"/>
    <brk id="123" max="8" man="1"/>
    <brk id="262" max="8" man="1"/>
    <brk id="287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232"/>
  <sheetViews>
    <sheetView zoomScaleSheetLayoutView="120" topLeftCell="A211" workbookViewId="0">
      <selection activeCell="O8" sqref="O8"/>
    </sheetView>
  </sheetViews>
  <sheetFormatPr defaultColWidth="9" defaultRowHeight="14.25"/>
  <cols>
    <col min="1" max="1" width="7" customWidth="1"/>
    <col min="2" max="2" width="12.2" customWidth="1"/>
    <col min="3" max="3" width="13.6" customWidth="1"/>
    <col min="4" max="4" width="18" customWidth="1"/>
    <col min="5" max="5" width="12.6" customWidth="1"/>
    <col min="6" max="6" width="10" customWidth="1"/>
    <col min="7" max="7" width="12.7" customWidth="1"/>
    <col min="8" max="8" width="9.5" customWidth="1"/>
    <col min="9" max="9" width="16" customWidth="1"/>
    <col min="12" max="12" width="16.6" customWidth="1"/>
    <col min="16" max="16" width="9.5" customWidth="1"/>
    <col min="26" max="26" width="15.6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customHeight="1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s="1" customFormat="1" ht="15.75" customHeight="1" spans="1:9">
      <c r="A3" s="7" t="s">
        <v>272</v>
      </c>
      <c r="B3" s="7"/>
      <c r="C3" s="7"/>
      <c r="D3" s="7"/>
      <c r="E3" s="7"/>
      <c r="F3" s="7"/>
      <c r="G3" s="7"/>
      <c r="H3" s="7"/>
      <c r="I3" s="7"/>
    </row>
    <row r="4" s="1" customFormat="1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1" customFormat="1" ht="15.75" spans="1:9">
      <c r="A5" s="5" t="s">
        <v>273</v>
      </c>
      <c r="B5" s="5"/>
      <c r="C5" s="5"/>
      <c r="D5" s="5"/>
      <c r="E5" s="5"/>
      <c r="F5" s="5"/>
      <c r="G5" s="5"/>
      <c r="H5" s="5"/>
      <c r="I5" s="5"/>
    </row>
    <row r="6" s="1" customFormat="1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customHeight="1" spans="1:9">
      <c r="A7" s="6" t="s">
        <v>7</v>
      </c>
      <c r="B7" s="6"/>
      <c r="C7" s="6"/>
      <c r="D7" s="6"/>
      <c r="E7" s="6"/>
      <c r="G7" s="8" t="s">
        <v>8</v>
      </c>
      <c r="H7" s="8"/>
      <c r="I7" s="8"/>
    </row>
    <row r="8" ht="47.25" spans="1:9">
      <c r="A8" s="9" t="s">
        <v>9</v>
      </c>
      <c r="B8" s="10" t="s">
        <v>10</v>
      </c>
      <c r="C8" s="9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10" t="s">
        <v>16</v>
      </c>
      <c r="I8" s="10" t="s">
        <v>17</v>
      </c>
    </row>
    <row r="9" ht="15.75" spans="1:9">
      <c r="A9" s="9" t="s">
        <v>18</v>
      </c>
      <c r="B9" s="10" t="s">
        <v>19</v>
      </c>
      <c r="C9" s="9" t="s">
        <v>20</v>
      </c>
      <c r="D9" s="10" t="s">
        <v>21</v>
      </c>
      <c r="E9" s="10" t="s">
        <v>22</v>
      </c>
      <c r="F9" s="10" t="s">
        <v>23</v>
      </c>
      <c r="G9" s="10" t="s">
        <v>24</v>
      </c>
      <c r="H9" s="10" t="s">
        <v>25</v>
      </c>
      <c r="I9" s="10" t="s">
        <v>26</v>
      </c>
    </row>
    <row r="10" ht="15.75" spans="1:9">
      <c r="A10" s="71">
        <v>1</v>
      </c>
      <c r="B10" s="71">
        <v>1981</v>
      </c>
      <c r="C10" s="10" t="s">
        <v>60</v>
      </c>
      <c r="D10" s="151" t="s">
        <v>274</v>
      </c>
      <c r="E10" s="42">
        <v>14677</v>
      </c>
      <c r="F10" s="15" t="s">
        <v>29</v>
      </c>
      <c r="G10" s="43">
        <f>E10*(65.19*365)/POWER(10,9)</f>
        <v>0.34922967495</v>
      </c>
      <c r="H10" s="15" t="s">
        <v>29</v>
      </c>
      <c r="I10" s="43">
        <f>G10</f>
        <v>0.34922967495</v>
      </c>
    </row>
    <row r="11" ht="15.75" spans="1:9">
      <c r="A11" s="71"/>
      <c r="B11" s="71"/>
      <c r="C11" s="10"/>
      <c r="D11" s="13" t="s">
        <v>275</v>
      </c>
      <c r="E11" s="42">
        <v>64447</v>
      </c>
      <c r="F11" s="15" t="s">
        <v>29</v>
      </c>
      <c r="G11" s="43">
        <f t="shared" ref="G11:G49" si="0">E11*(65.19*365)/POWER(10,9)</f>
        <v>1.53347447445</v>
      </c>
      <c r="H11" s="15" t="s">
        <v>29</v>
      </c>
      <c r="I11" s="43">
        <f t="shared" ref="I11:I49" si="1">G11</f>
        <v>1.53347447445</v>
      </c>
    </row>
    <row r="12" ht="15.75" spans="1:9">
      <c r="A12" s="71"/>
      <c r="B12" s="71"/>
      <c r="C12" s="10"/>
      <c r="D12" s="13" t="s">
        <v>276</v>
      </c>
      <c r="E12" s="42">
        <v>6738</v>
      </c>
      <c r="F12" s="15" t="s">
        <v>29</v>
      </c>
      <c r="G12" s="43">
        <f t="shared" si="0"/>
        <v>0.1603263303</v>
      </c>
      <c r="H12" s="15" t="s">
        <v>29</v>
      </c>
      <c r="I12" s="43">
        <f t="shared" si="1"/>
        <v>0.1603263303</v>
      </c>
    </row>
    <row r="13" ht="15.75" spans="1:9">
      <c r="A13" s="71"/>
      <c r="B13" s="71"/>
      <c r="C13" s="10"/>
      <c r="D13" s="13" t="s">
        <v>61</v>
      </c>
      <c r="E13" s="42">
        <v>45126</v>
      </c>
      <c r="F13" s="15" t="s">
        <v>29</v>
      </c>
      <c r="G13" s="43">
        <f t="shared" si="0"/>
        <v>1.0737438381</v>
      </c>
      <c r="H13" s="15" t="s">
        <v>29</v>
      </c>
      <c r="I13" s="43">
        <f t="shared" si="1"/>
        <v>1.0737438381</v>
      </c>
    </row>
    <row r="14" ht="15.75" spans="1:9">
      <c r="A14" s="71"/>
      <c r="B14" s="71"/>
      <c r="C14" s="10"/>
      <c r="D14" s="13" t="s">
        <v>60</v>
      </c>
      <c r="E14" s="42">
        <v>27093</v>
      </c>
      <c r="F14" s="15" t="s">
        <v>29</v>
      </c>
      <c r="G14" s="43">
        <f t="shared" si="0"/>
        <v>0.64466032455</v>
      </c>
      <c r="H14" s="15" t="s">
        <v>29</v>
      </c>
      <c r="I14" s="43">
        <f t="shared" si="1"/>
        <v>0.64466032455</v>
      </c>
    </row>
    <row r="15" ht="15.75" spans="1:9">
      <c r="A15" s="71"/>
      <c r="B15" s="71"/>
      <c r="C15" s="10"/>
      <c r="D15" s="13" t="s">
        <v>62</v>
      </c>
      <c r="E15" s="42">
        <v>14487</v>
      </c>
      <c r="F15" s="15" t="s">
        <v>29</v>
      </c>
      <c r="G15" s="43">
        <f t="shared" si="0"/>
        <v>0.34470874845</v>
      </c>
      <c r="H15" s="15" t="s">
        <v>29</v>
      </c>
      <c r="I15" s="43">
        <f t="shared" si="1"/>
        <v>0.34470874845</v>
      </c>
    </row>
    <row r="16" ht="15.75" spans="1:9">
      <c r="A16" s="71"/>
      <c r="B16" s="71"/>
      <c r="C16" s="10"/>
      <c r="D16" s="151" t="s">
        <v>277</v>
      </c>
      <c r="E16" s="42">
        <v>242105</v>
      </c>
      <c r="F16" s="15" t="s">
        <v>29</v>
      </c>
      <c r="G16" s="43">
        <f t="shared" si="0"/>
        <v>5.76073110675</v>
      </c>
      <c r="H16" s="15" t="s">
        <v>29</v>
      </c>
      <c r="I16" s="43">
        <f t="shared" si="1"/>
        <v>5.76073110675</v>
      </c>
    </row>
    <row r="17" ht="15.75" spans="1:9">
      <c r="A17" s="71"/>
      <c r="B17" s="71"/>
      <c r="C17" s="10"/>
      <c r="D17" s="13" t="s">
        <v>278</v>
      </c>
      <c r="E17" s="42">
        <v>15512</v>
      </c>
      <c r="F17" s="15" t="s">
        <v>29</v>
      </c>
      <c r="G17" s="43">
        <f t="shared" si="0"/>
        <v>0.3690979572</v>
      </c>
      <c r="H17" s="15" t="s">
        <v>29</v>
      </c>
      <c r="I17" s="43">
        <f t="shared" si="1"/>
        <v>0.3690979572</v>
      </c>
    </row>
    <row r="18" ht="15.75" spans="1:9">
      <c r="A18" s="71"/>
      <c r="B18" s="71"/>
      <c r="C18" s="10"/>
      <c r="D18" s="13" t="s">
        <v>279</v>
      </c>
      <c r="E18" s="42">
        <v>828</v>
      </c>
      <c r="F18" s="15" t="s">
        <v>29</v>
      </c>
      <c r="G18" s="43">
        <f t="shared" si="0"/>
        <v>0.0197017218</v>
      </c>
      <c r="H18" s="15" t="s">
        <v>29</v>
      </c>
      <c r="I18" s="43">
        <f t="shared" si="1"/>
        <v>0.0197017218</v>
      </c>
    </row>
    <row r="19" ht="15.75" spans="1:9">
      <c r="A19" s="71"/>
      <c r="B19" s="71"/>
      <c r="C19" s="10" t="s">
        <v>48</v>
      </c>
      <c r="D19" s="13" t="s">
        <v>51</v>
      </c>
      <c r="E19" s="42">
        <v>3580</v>
      </c>
      <c r="F19" s="15" t="s">
        <v>29</v>
      </c>
      <c r="G19" s="43">
        <f t="shared" si="0"/>
        <v>0.085183773</v>
      </c>
      <c r="H19" s="15" t="s">
        <v>29</v>
      </c>
      <c r="I19" s="43">
        <f t="shared" si="1"/>
        <v>0.085183773</v>
      </c>
    </row>
    <row r="20" ht="15.75" spans="1:9">
      <c r="A20" s="71"/>
      <c r="B20" s="71"/>
      <c r="C20" s="10"/>
      <c r="D20" s="13" t="s">
        <v>54</v>
      </c>
      <c r="E20" s="42">
        <v>20993</v>
      </c>
      <c r="F20" s="15" t="s">
        <v>29</v>
      </c>
      <c r="G20" s="43">
        <f t="shared" si="0"/>
        <v>0.49951478955</v>
      </c>
      <c r="H20" s="15" t="s">
        <v>29</v>
      </c>
      <c r="I20" s="43">
        <f t="shared" si="1"/>
        <v>0.49951478955</v>
      </c>
    </row>
    <row r="21" ht="15.75" spans="1:9">
      <c r="A21" s="71"/>
      <c r="B21" s="71"/>
      <c r="C21" s="10"/>
      <c r="D21" s="13" t="s">
        <v>58</v>
      </c>
      <c r="E21" s="42">
        <v>50526</v>
      </c>
      <c r="F21" s="15" t="s">
        <v>29</v>
      </c>
      <c r="G21" s="43">
        <f t="shared" si="0"/>
        <v>1.2022333281</v>
      </c>
      <c r="H21" s="15" t="s">
        <v>29</v>
      </c>
      <c r="I21" s="43">
        <f t="shared" si="1"/>
        <v>1.2022333281</v>
      </c>
    </row>
    <row r="22" ht="15.75" spans="1:9">
      <c r="A22" s="71"/>
      <c r="B22" s="71"/>
      <c r="C22" s="10"/>
      <c r="D22" s="13" t="s">
        <v>59</v>
      </c>
      <c r="E22" s="42">
        <v>22924</v>
      </c>
      <c r="F22" s="15" t="s">
        <v>29</v>
      </c>
      <c r="G22" s="43">
        <f t="shared" si="0"/>
        <v>0.5454616794</v>
      </c>
      <c r="H22" s="15" t="s">
        <v>29</v>
      </c>
      <c r="I22" s="43">
        <f t="shared" si="1"/>
        <v>0.5454616794</v>
      </c>
    </row>
    <row r="23" ht="15.75" spans="1:9">
      <c r="A23" s="71"/>
      <c r="B23" s="71"/>
      <c r="C23" s="10" t="s">
        <v>260</v>
      </c>
      <c r="D23" s="13" t="s">
        <v>255</v>
      </c>
      <c r="E23" s="42">
        <v>176</v>
      </c>
      <c r="F23" s="15" t="s">
        <v>29</v>
      </c>
      <c r="G23" s="43">
        <f t="shared" si="0"/>
        <v>0.0041878056</v>
      </c>
      <c r="H23" s="15" t="s">
        <v>29</v>
      </c>
      <c r="I23" s="43">
        <f t="shared" si="1"/>
        <v>0.0041878056</v>
      </c>
    </row>
    <row r="24" ht="15.75" spans="1:9">
      <c r="A24" s="71"/>
      <c r="B24" s="71"/>
      <c r="C24" s="10"/>
      <c r="D24" s="13" t="s">
        <v>280</v>
      </c>
      <c r="E24" s="42">
        <v>34217</v>
      </c>
      <c r="F24" s="15" t="s">
        <v>29</v>
      </c>
      <c r="G24" s="43">
        <f t="shared" si="0"/>
        <v>0.81417127395</v>
      </c>
      <c r="H24" s="15" t="s">
        <v>29</v>
      </c>
      <c r="I24" s="43">
        <f t="shared" si="1"/>
        <v>0.81417127395</v>
      </c>
    </row>
    <row r="25" ht="15.75" spans="1:9">
      <c r="A25" s="71"/>
      <c r="B25" s="71"/>
      <c r="C25" s="10"/>
      <c r="D25" s="13" t="s">
        <v>254</v>
      </c>
      <c r="E25" s="42">
        <v>588</v>
      </c>
      <c r="F25" s="15" t="s">
        <v>29</v>
      </c>
      <c r="G25" s="43">
        <f t="shared" si="0"/>
        <v>0.0139910778</v>
      </c>
      <c r="H25" s="15" t="s">
        <v>29</v>
      </c>
      <c r="I25" s="43">
        <f t="shared" si="1"/>
        <v>0.0139910778</v>
      </c>
    </row>
    <row r="26" ht="15.75" spans="1:9">
      <c r="A26" s="71"/>
      <c r="B26" s="71"/>
      <c r="C26" s="10"/>
      <c r="D26" s="13" t="s">
        <v>281</v>
      </c>
      <c r="E26" s="42">
        <v>24920</v>
      </c>
      <c r="F26" s="15" t="s">
        <v>29</v>
      </c>
      <c r="G26" s="43">
        <f t="shared" si="0"/>
        <v>0.592955202</v>
      </c>
      <c r="H26" s="15" t="s">
        <v>29</v>
      </c>
      <c r="I26" s="43">
        <f t="shared" si="1"/>
        <v>0.592955202</v>
      </c>
    </row>
    <row r="27" ht="15.75" spans="1:9">
      <c r="A27" s="71"/>
      <c r="B27" s="71"/>
      <c r="C27" s="10"/>
      <c r="D27" s="13" t="s">
        <v>282</v>
      </c>
      <c r="E27" s="42">
        <v>23549</v>
      </c>
      <c r="F27" s="15" t="s">
        <v>29</v>
      </c>
      <c r="G27" s="43">
        <f t="shared" si="0"/>
        <v>0.56033314815</v>
      </c>
      <c r="H27" s="15" t="s">
        <v>29</v>
      </c>
      <c r="I27" s="43">
        <f t="shared" si="1"/>
        <v>0.56033314815</v>
      </c>
    </row>
    <row r="28" ht="15.75" spans="1:9">
      <c r="A28" s="71"/>
      <c r="B28" s="71"/>
      <c r="C28" s="10"/>
      <c r="D28" s="13" t="s">
        <v>283</v>
      </c>
      <c r="E28" s="42">
        <v>5342</v>
      </c>
      <c r="F28" s="15" t="s">
        <v>29</v>
      </c>
      <c r="G28" s="43">
        <f t="shared" si="0"/>
        <v>0.1271094177</v>
      </c>
      <c r="H28" s="15" t="s">
        <v>29</v>
      </c>
      <c r="I28" s="43">
        <f t="shared" si="1"/>
        <v>0.1271094177</v>
      </c>
    </row>
    <row r="29" ht="15.75" spans="1:9">
      <c r="A29" s="71"/>
      <c r="B29" s="71"/>
      <c r="C29" s="10"/>
      <c r="D29" s="13" t="s">
        <v>284</v>
      </c>
      <c r="E29" s="42">
        <v>55</v>
      </c>
      <c r="F29" s="15" t="s">
        <v>29</v>
      </c>
      <c r="G29" s="43">
        <f t="shared" si="0"/>
        <v>0.00130868925</v>
      </c>
      <c r="H29" s="15" t="s">
        <v>29</v>
      </c>
      <c r="I29" s="43">
        <f t="shared" si="1"/>
        <v>0.00130868925</v>
      </c>
    </row>
    <row r="30" ht="15.75" spans="1:9">
      <c r="A30" s="71">
        <v>2</v>
      </c>
      <c r="B30" s="71">
        <v>1991</v>
      </c>
      <c r="C30" s="10" t="s">
        <v>60</v>
      </c>
      <c r="D30" s="151" t="s">
        <v>274</v>
      </c>
      <c r="E30" s="42">
        <v>15214</v>
      </c>
      <c r="F30" s="15" t="s">
        <v>29</v>
      </c>
      <c r="G30" s="43">
        <f t="shared" si="0"/>
        <v>0.3620072409</v>
      </c>
      <c r="H30" s="15" t="s">
        <v>29</v>
      </c>
      <c r="I30" s="43">
        <f t="shared" si="1"/>
        <v>0.3620072409</v>
      </c>
    </row>
    <row r="31" ht="15.75" spans="1:9">
      <c r="A31" s="71"/>
      <c r="B31" s="71"/>
      <c r="C31" s="10"/>
      <c r="D31" s="13" t="s">
        <v>275</v>
      </c>
      <c r="E31" s="42">
        <v>66804</v>
      </c>
      <c r="F31" s="15" t="s">
        <v>29</v>
      </c>
      <c r="G31" s="43">
        <f t="shared" si="0"/>
        <v>1.5895577574</v>
      </c>
      <c r="H31" s="15" t="s">
        <v>29</v>
      </c>
      <c r="I31" s="43">
        <f t="shared" si="1"/>
        <v>1.5895577574</v>
      </c>
    </row>
    <row r="32" ht="15.75" spans="1:9">
      <c r="A32" s="71"/>
      <c r="B32" s="71"/>
      <c r="C32" s="10"/>
      <c r="D32" s="13" t="s">
        <v>276</v>
      </c>
      <c r="E32" s="42">
        <v>6984</v>
      </c>
      <c r="F32" s="15" t="s">
        <v>29</v>
      </c>
      <c r="G32" s="43">
        <f t="shared" si="0"/>
        <v>0.1661797404</v>
      </c>
      <c r="H32" s="15" t="s">
        <v>29</v>
      </c>
      <c r="I32" s="43">
        <f t="shared" si="1"/>
        <v>0.1661797404</v>
      </c>
    </row>
    <row r="33" ht="15.75" spans="1:9">
      <c r="A33" s="71"/>
      <c r="B33" s="71"/>
      <c r="C33" s="10"/>
      <c r="D33" s="13" t="s">
        <v>61</v>
      </c>
      <c r="E33" s="42">
        <v>46776</v>
      </c>
      <c r="F33" s="15" t="s">
        <v>29</v>
      </c>
      <c r="G33" s="43">
        <f t="shared" si="0"/>
        <v>1.1130045156</v>
      </c>
      <c r="H33" s="15" t="s">
        <v>29</v>
      </c>
      <c r="I33" s="43">
        <f t="shared" si="1"/>
        <v>1.1130045156</v>
      </c>
    </row>
    <row r="34" ht="15.75" spans="1:9">
      <c r="A34" s="71"/>
      <c r="B34" s="71"/>
      <c r="C34" s="10"/>
      <c r="D34" s="13" t="s">
        <v>60</v>
      </c>
      <c r="E34" s="42">
        <v>28084</v>
      </c>
      <c r="F34" s="15" t="s">
        <v>29</v>
      </c>
      <c r="G34" s="43">
        <f t="shared" si="0"/>
        <v>0.6682405254</v>
      </c>
      <c r="H34" s="15" t="s">
        <v>29</v>
      </c>
      <c r="I34" s="43">
        <f t="shared" si="1"/>
        <v>0.6682405254</v>
      </c>
    </row>
    <row r="35" ht="15.75" spans="1:9">
      <c r="A35" s="71"/>
      <c r="B35" s="71"/>
      <c r="C35" s="10"/>
      <c r="D35" s="13" t="s">
        <v>62</v>
      </c>
      <c r="E35" s="42">
        <v>15016</v>
      </c>
      <c r="F35" s="15" t="s">
        <v>29</v>
      </c>
      <c r="G35" s="43">
        <f t="shared" si="0"/>
        <v>0.3572959596</v>
      </c>
      <c r="H35" s="15" t="s">
        <v>29</v>
      </c>
      <c r="I35" s="43">
        <f t="shared" si="1"/>
        <v>0.3572959596</v>
      </c>
    </row>
    <row r="36" ht="15.75" spans="1:9">
      <c r="A36" s="71"/>
      <c r="B36" s="71"/>
      <c r="C36" s="10"/>
      <c r="D36" s="151" t="s">
        <v>277</v>
      </c>
      <c r="E36" s="42">
        <v>250960</v>
      </c>
      <c r="F36" s="15" t="s">
        <v>29</v>
      </c>
      <c r="G36" s="43">
        <f t="shared" si="0"/>
        <v>5.971430076</v>
      </c>
      <c r="H36" s="15" t="s">
        <v>29</v>
      </c>
      <c r="I36" s="43">
        <f t="shared" si="1"/>
        <v>5.971430076</v>
      </c>
    </row>
    <row r="37" ht="15.75" spans="1:9">
      <c r="A37" s="71"/>
      <c r="B37" s="71"/>
      <c r="C37" s="10"/>
      <c r="D37" s="13" t="s">
        <v>278</v>
      </c>
      <c r="E37" s="42">
        <v>22951</v>
      </c>
      <c r="F37" s="15" t="s">
        <v>29</v>
      </c>
      <c r="G37" s="43">
        <f t="shared" si="0"/>
        <v>0.54610412685</v>
      </c>
      <c r="H37" s="15" t="s">
        <v>29</v>
      </c>
      <c r="I37" s="43">
        <f t="shared" si="1"/>
        <v>0.54610412685</v>
      </c>
    </row>
    <row r="38" ht="15.75" spans="1:9">
      <c r="A38" s="71"/>
      <c r="B38" s="71"/>
      <c r="C38" s="10"/>
      <c r="D38" s="13" t="s">
        <v>279</v>
      </c>
      <c r="E38" s="42">
        <v>1225</v>
      </c>
      <c r="F38" s="15" t="s">
        <v>29</v>
      </c>
      <c r="G38" s="43">
        <f t="shared" si="0"/>
        <v>0.02914807875</v>
      </c>
      <c r="H38" s="15" t="s">
        <v>29</v>
      </c>
      <c r="I38" s="43">
        <f t="shared" si="1"/>
        <v>0.02914807875</v>
      </c>
    </row>
    <row r="39" ht="15.75" spans="1:9">
      <c r="A39" s="71"/>
      <c r="B39" s="71"/>
      <c r="C39" s="10" t="s">
        <v>48</v>
      </c>
      <c r="D39" s="13" t="s">
        <v>51</v>
      </c>
      <c r="E39" s="42">
        <v>4586</v>
      </c>
      <c r="F39" s="15" t="s">
        <v>29</v>
      </c>
      <c r="G39" s="43">
        <f t="shared" si="0"/>
        <v>0.1091208891</v>
      </c>
      <c r="H39" s="15" t="s">
        <v>29</v>
      </c>
      <c r="I39" s="43">
        <f t="shared" si="1"/>
        <v>0.1091208891</v>
      </c>
    </row>
    <row r="40" ht="15.75" spans="1:9">
      <c r="A40" s="71"/>
      <c r="B40" s="71"/>
      <c r="C40" s="10"/>
      <c r="D40" s="13" t="s">
        <v>54</v>
      </c>
      <c r="E40" s="42">
        <v>26895</v>
      </c>
      <c r="F40" s="15" t="s">
        <v>29</v>
      </c>
      <c r="G40" s="43">
        <f t="shared" si="0"/>
        <v>0.63994904325</v>
      </c>
      <c r="H40" s="15" t="s">
        <v>29</v>
      </c>
      <c r="I40" s="43">
        <f t="shared" si="1"/>
        <v>0.63994904325</v>
      </c>
    </row>
    <row r="41" ht="15.75" spans="1:9">
      <c r="A41" s="71"/>
      <c r="B41" s="71"/>
      <c r="C41" s="10"/>
      <c r="D41" s="13" t="s">
        <v>58</v>
      </c>
      <c r="E41" s="42">
        <v>63437</v>
      </c>
      <c r="F41" s="15" t="s">
        <v>29</v>
      </c>
      <c r="G41" s="43">
        <f t="shared" si="0"/>
        <v>1.50944218095</v>
      </c>
      <c r="H41" s="15" t="s">
        <v>29</v>
      </c>
      <c r="I41" s="43">
        <f t="shared" si="1"/>
        <v>1.50944218095</v>
      </c>
    </row>
    <row r="42" ht="15.75" spans="1:9">
      <c r="A42" s="71"/>
      <c r="B42" s="71"/>
      <c r="C42" s="10"/>
      <c r="D42" s="13" t="s">
        <v>59</v>
      </c>
      <c r="E42" s="42">
        <v>28783</v>
      </c>
      <c r="F42" s="15" t="s">
        <v>29</v>
      </c>
      <c r="G42" s="43">
        <f t="shared" si="0"/>
        <v>0.68487277605</v>
      </c>
      <c r="H42" s="15" t="s">
        <v>29</v>
      </c>
      <c r="I42" s="43">
        <f t="shared" si="1"/>
        <v>0.68487277605</v>
      </c>
    </row>
    <row r="43" ht="15.75" spans="1:9">
      <c r="A43" s="71"/>
      <c r="B43" s="71"/>
      <c r="C43" s="11" t="s">
        <v>260</v>
      </c>
      <c r="D43" s="13" t="s">
        <v>255</v>
      </c>
      <c r="E43" s="42">
        <v>216</v>
      </c>
      <c r="F43" s="15" t="s">
        <v>29</v>
      </c>
      <c r="G43" s="43">
        <f t="shared" si="0"/>
        <v>0.0051395796</v>
      </c>
      <c r="H43" s="15" t="s">
        <v>29</v>
      </c>
      <c r="I43" s="43">
        <f t="shared" si="1"/>
        <v>0.0051395796</v>
      </c>
    </row>
    <row r="44" ht="15.75" spans="1:9">
      <c r="A44" s="71"/>
      <c r="B44" s="71"/>
      <c r="C44" s="22"/>
      <c r="D44" s="13" t="s">
        <v>280</v>
      </c>
      <c r="E44" s="42">
        <v>41929</v>
      </c>
      <c r="F44" s="15" t="s">
        <v>29</v>
      </c>
      <c r="G44" s="43">
        <f t="shared" si="0"/>
        <v>0.99767330115</v>
      </c>
      <c r="H44" s="15" t="s">
        <v>29</v>
      </c>
      <c r="I44" s="43">
        <f t="shared" si="1"/>
        <v>0.99767330115</v>
      </c>
    </row>
    <row r="45" ht="15.75" spans="1:9">
      <c r="A45" s="71"/>
      <c r="B45" s="71"/>
      <c r="C45" s="22"/>
      <c r="D45" s="13" t="s">
        <v>254</v>
      </c>
      <c r="E45" s="42">
        <v>721</v>
      </c>
      <c r="F45" s="15" t="s">
        <v>29</v>
      </c>
      <c r="G45" s="43">
        <f t="shared" si="0"/>
        <v>0.01715572635</v>
      </c>
      <c r="H45" s="15" t="s">
        <v>29</v>
      </c>
      <c r="I45" s="43">
        <f t="shared" si="1"/>
        <v>0.01715572635</v>
      </c>
    </row>
    <row r="46" ht="15.75" spans="1:9">
      <c r="A46" s="71"/>
      <c r="B46" s="71"/>
      <c r="C46" s="22"/>
      <c r="D46" s="13" t="s">
        <v>281</v>
      </c>
      <c r="E46" s="42">
        <v>30536</v>
      </c>
      <c r="F46" s="15" t="s">
        <v>29</v>
      </c>
      <c r="G46" s="43">
        <f t="shared" si="0"/>
        <v>0.7265842716</v>
      </c>
      <c r="H46" s="15" t="s">
        <v>29</v>
      </c>
      <c r="I46" s="43">
        <f t="shared" si="1"/>
        <v>0.7265842716</v>
      </c>
    </row>
    <row r="47" ht="15.75" spans="1:9">
      <c r="A47" s="71"/>
      <c r="B47" s="71"/>
      <c r="C47" s="22"/>
      <c r="D47" s="13" t="s">
        <v>282</v>
      </c>
      <c r="E47" s="42">
        <v>28857</v>
      </c>
      <c r="F47" s="15" t="s">
        <v>29</v>
      </c>
      <c r="G47" s="43">
        <f t="shared" si="0"/>
        <v>0.68663355795</v>
      </c>
      <c r="H47" s="15" t="s">
        <v>29</v>
      </c>
      <c r="I47" s="43">
        <f t="shared" si="1"/>
        <v>0.68663355795</v>
      </c>
    </row>
    <row r="48" ht="15.75" spans="1:9">
      <c r="A48" s="71"/>
      <c r="B48" s="71"/>
      <c r="C48" s="22"/>
      <c r="D48" s="13" t="s">
        <v>283</v>
      </c>
      <c r="E48" s="42">
        <v>6546</v>
      </c>
      <c r="F48" s="15" t="s">
        <v>29</v>
      </c>
      <c r="G48" s="43">
        <f t="shared" si="0"/>
        <v>0.1557578151</v>
      </c>
      <c r="H48" s="15" t="s">
        <v>29</v>
      </c>
      <c r="I48" s="43">
        <f t="shared" si="1"/>
        <v>0.1557578151</v>
      </c>
    </row>
    <row r="49" ht="15.75" spans="1:9">
      <c r="A49" s="71"/>
      <c r="B49" s="71"/>
      <c r="C49" s="23"/>
      <c r="D49" s="13" t="s">
        <v>284</v>
      </c>
      <c r="E49" s="42">
        <v>68</v>
      </c>
      <c r="F49" s="15" t="s">
        <v>29</v>
      </c>
      <c r="G49" s="43">
        <f t="shared" si="0"/>
        <v>0.0016180158</v>
      </c>
      <c r="H49" s="15" t="s">
        <v>29</v>
      </c>
      <c r="I49" s="43">
        <f t="shared" si="1"/>
        <v>0.0016180158</v>
      </c>
    </row>
    <row r="50" ht="15.75" spans="1:11">
      <c r="A50" s="83">
        <v>3</v>
      </c>
      <c r="B50" s="70">
        <v>2001</v>
      </c>
      <c r="C50" s="11" t="s">
        <v>95</v>
      </c>
      <c r="D50" s="13" t="s">
        <v>54</v>
      </c>
      <c r="E50" s="42">
        <v>31792</v>
      </c>
      <c r="F50" s="19">
        <v>24293</v>
      </c>
      <c r="G50" s="43">
        <f t="shared" ref="G50:G81" si="2">E50*(65.19*365)/POWER(10,9)</f>
        <v>0.7564699752</v>
      </c>
      <c r="H50" s="20">
        <v>0.572965825986683</v>
      </c>
      <c r="I50" s="120">
        <f t="shared" ref="I50:I109" si="3">G50+H50</f>
        <v>1.32943580118668</v>
      </c>
      <c r="K50" s="53"/>
    </row>
    <row r="51" ht="15.75" spans="1:11">
      <c r="A51" s="83"/>
      <c r="B51" s="83"/>
      <c r="C51" s="23"/>
      <c r="D51" s="13" t="s">
        <v>51</v>
      </c>
      <c r="E51" s="42">
        <v>5421</v>
      </c>
      <c r="F51" s="19">
        <v>4551</v>
      </c>
      <c r="G51" s="43">
        <f t="shared" si="2"/>
        <v>0.12898917135</v>
      </c>
      <c r="H51" s="20">
        <v>0.124549100248913</v>
      </c>
      <c r="I51" s="120">
        <f t="shared" si="3"/>
        <v>0.253538271598913</v>
      </c>
      <c r="K51" s="53"/>
    </row>
    <row r="52" ht="15.75" spans="1:11">
      <c r="A52" s="83"/>
      <c r="B52" s="83"/>
      <c r="C52" s="11" t="s">
        <v>285</v>
      </c>
      <c r="D52" s="13" t="s">
        <v>279</v>
      </c>
      <c r="E52" s="42">
        <v>1377</v>
      </c>
      <c r="F52" s="19">
        <v>1965</v>
      </c>
      <c r="G52" s="43">
        <f t="shared" si="2"/>
        <v>0.03276481995</v>
      </c>
      <c r="H52" s="20">
        <v>0.0391904061394199</v>
      </c>
      <c r="I52" s="120">
        <f t="shared" si="3"/>
        <v>0.0719552260894199</v>
      </c>
      <c r="K52" s="53"/>
    </row>
    <row r="53" ht="15.75" spans="1:11">
      <c r="A53" s="83"/>
      <c r="B53" s="83"/>
      <c r="C53" s="23"/>
      <c r="D53" s="13" t="s">
        <v>278</v>
      </c>
      <c r="E53" s="42">
        <v>25802</v>
      </c>
      <c r="F53" s="19">
        <v>52459</v>
      </c>
      <c r="G53" s="43">
        <f t="shared" si="2"/>
        <v>0.6139418187</v>
      </c>
      <c r="H53" s="20">
        <v>0.620654104927865</v>
      </c>
      <c r="I53" s="120">
        <f t="shared" si="3"/>
        <v>1.23459592362786</v>
      </c>
      <c r="K53" s="53"/>
    </row>
    <row r="54" ht="15.75" spans="1:11">
      <c r="A54" s="83"/>
      <c r="B54" s="83"/>
      <c r="C54" s="11" t="s">
        <v>58</v>
      </c>
      <c r="D54" s="13" t="s">
        <v>59</v>
      </c>
      <c r="E54" s="42">
        <v>27936</v>
      </c>
      <c r="F54" s="19">
        <v>71468</v>
      </c>
      <c r="G54" s="43">
        <f t="shared" si="2"/>
        <v>0.6647189616</v>
      </c>
      <c r="H54" s="20">
        <v>1.39527481772309</v>
      </c>
      <c r="I54" s="120">
        <f t="shared" si="3"/>
        <v>2.05999377932309</v>
      </c>
      <c r="K54" s="53"/>
    </row>
    <row r="55" ht="15.75" spans="1:11">
      <c r="A55" s="83"/>
      <c r="B55" s="83"/>
      <c r="C55" s="23"/>
      <c r="D55" s="13" t="s">
        <v>58</v>
      </c>
      <c r="E55" s="42">
        <v>61571</v>
      </c>
      <c r="F55" s="19">
        <v>39840</v>
      </c>
      <c r="G55" s="43">
        <f t="shared" si="2"/>
        <v>1.46504192385</v>
      </c>
      <c r="H55" s="20">
        <v>0.839899268730245</v>
      </c>
      <c r="I55" s="120">
        <f t="shared" si="3"/>
        <v>2.30494119258024</v>
      </c>
      <c r="K55" s="53"/>
    </row>
    <row r="56" ht="15.75" spans="1:11">
      <c r="A56" s="83"/>
      <c r="B56" s="83"/>
      <c r="C56" s="11" t="s">
        <v>60</v>
      </c>
      <c r="D56" s="151" t="s">
        <v>277</v>
      </c>
      <c r="E56" s="42">
        <v>296225</v>
      </c>
      <c r="F56" s="19">
        <v>137857</v>
      </c>
      <c r="G56" s="43">
        <f t="shared" si="2"/>
        <v>7.04848132875</v>
      </c>
      <c r="H56" s="20">
        <v>3.17590405703812</v>
      </c>
      <c r="I56" s="120">
        <f t="shared" si="3"/>
        <v>10.2243853857881</v>
      </c>
      <c r="K56" s="53"/>
    </row>
    <row r="57" ht="15.75" spans="1:11">
      <c r="A57" s="83"/>
      <c r="B57" s="83"/>
      <c r="C57" s="22"/>
      <c r="D57" s="13" t="s">
        <v>275</v>
      </c>
      <c r="E57" s="42">
        <v>78853</v>
      </c>
      <c r="F57" s="19">
        <v>66388</v>
      </c>
      <c r="G57" s="43">
        <f t="shared" si="2"/>
        <v>1.87625588055</v>
      </c>
      <c r="H57" s="20">
        <v>1.23731845804321</v>
      </c>
      <c r="I57" s="120">
        <f t="shared" si="3"/>
        <v>3.11357433859321</v>
      </c>
      <c r="K57" s="53"/>
    </row>
    <row r="58" ht="15.75" spans="1:11">
      <c r="A58" s="83"/>
      <c r="B58" s="83"/>
      <c r="C58" s="22"/>
      <c r="D58" s="13" t="s">
        <v>61</v>
      </c>
      <c r="E58" s="42">
        <v>55213</v>
      </c>
      <c r="F58" s="19">
        <v>47855</v>
      </c>
      <c r="G58" s="43">
        <f t="shared" si="2"/>
        <v>1.31375744655</v>
      </c>
      <c r="H58" s="20">
        <v>0.873546716193935</v>
      </c>
      <c r="I58" s="120">
        <f t="shared" si="3"/>
        <v>2.18730416274393</v>
      </c>
      <c r="K58" s="53"/>
    </row>
    <row r="59" ht="15.75" spans="1:11">
      <c r="A59" s="83"/>
      <c r="B59" s="83"/>
      <c r="C59" s="22"/>
      <c r="D59" s="151" t="s">
        <v>274</v>
      </c>
      <c r="E59" s="42">
        <v>17958</v>
      </c>
      <c r="F59" s="19">
        <v>13610</v>
      </c>
      <c r="G59" s="43">
        <f t="shared" si="2"/>
        <v>0.4272989373</v>
      </c>
      <c r="H59" s="20">
        <v>0.279940739117683</v>
      </c>
      <c r="I59" s="120">
        <f t="shared" si="3"/>
        <v>0.707239676417683</v>
      </c>
      <c r="K59" s="53"/>
    </row>
    <row r="60" ht="15.75" spans="1:11">
      <c r="A60" s="83"/>
      <c r="B60" s="83"/>
      <c r="C60" s="22"/>
      <c r="D60" s="13" t="s">
        <v>62</v>
      </c>
      <c r="E60" s="42">
        <v>17725</v>
      </c>
      <c r="F60" s="19">
        <v>24008</v>
      </c>
      <c r="G60" s="43">
        <f t="shared" si="2"/>
        <v>0.42175485375</v>
      </c>
      <c r="H60" s="20">
        <v>0.522675349258553</v>
      </c>
      <c r="I60" s="120">
        <f t="shared" si="3"/>
        <v>0.944430203008553</v>
      </c>
      <c r="K60" s="53"/>
    </row>
    <row r="61" ht="15.75" spans="1:11">
      <c r="A61" s="83"/>
      <c r="B61" s="83"/>
      <c r="C61" s="22"/>
      <c r="D61" s="13" t="s">
        <v>60</v>
      </c>
      <c r="E61" s="42">
        <v>33149</v>
      </c>
      <c r="F61" s="19">
        <v>24415</v>
      </c>
      <c r="G61" s="43">
        <f t="shared" si="2"/>
        <v>0.78875890815</v>
      </c>
      <c r="H61" s="20">
        <v>0.49005110921152</v>
      </c>
      <c r="I61" s="120">
        <f t="shared" si="3"/>
        <v>1.27881001736152</v>
      </c>
      <c r="K61" s="53"/>
    </row>
    <row r="62" ht="15.75" spans="1:11">
      <c r="A62" s="83"/>
      <c r="B62" s="83"/>
      <c r="C62" s="23"/>
      <c r="D62" s="13" t="s">
        <v>276</v>
      </c>
      <c r="E62" s="42">
        <v>8244</v>
      </c>
      <c r="F62" s="19">
        <v>7433</v>
      </c>
      <c r="G62" s="43">
        <f t="shared" si="2"/>
        <v>0.1961606214</v>
      </c>
      <c r="H62" s="20">
        <v>0.134973698538899</v>
      </c>
      <c r="I62" s="120">
        <f t="shared" si="3"/>
        <v>0.331134319938899</v>
      </c>
      <c r="K62" s="53"/>
    </row>
    <row r="63" ht="15.75" spans="1:11">
      <c r="A63" s="83"/>
      <c r="B63" s="83"/>
      <c r="C63" s="11" t="s">
        <v>260</v>
      </c>
      <c r="D63" s="151" t="s">
        <v>284</v>
      </c>
      <c r="E63" s="42">
        <v>71</v>
      </c>
      <c r="F63" s="19">
        <v>269</v>
      </c>
      <c r="G63" s="43">
        <f t="shared" si="2"/>
        <v>0.00168939885</v>
      </c>
      <c r="H63" s="20">
        <v>0.00245621181881958</v>
      </c>
      <c r="I63" s="120">
        <f t="shared" si="3"/>
        <v>0.00414561066881958</v>
      </c>
      <c r="K63" s="53"/>
    </row>
    <row r="64" ht="15.75" spans="1:11">
      <c r="A64" s="83"/>
      <c r="B64" s="83"/>
      <c r="C64" s="22"/>
      <c r="D64" s="13" t="s">
        <v>280</v>
      </c>
      <c r="E64" s="42">
        <v>43855</v>
      </c>
      <c r="F64" s="19">
        <v>134761</v>
      </c>
      <c r="G64" s="43">
        <f t="shared" si="2"/>
        <v>1.04350121925</v>
      </c>
      <c r="H64" s="20">
        <v>2.88305646529064</v>
      </c>
      <c r="I64" s="120">
        <f t="shared" si="3"/>
        <v>3.92655768454064</v>
      </c>
      <c r="K64" s="53"/>
    </row>
    <row r="65" ht="15.75" spans="1:11">
      <c r="A65" s="83"/>
      <c r="B65" s="83"/>
      <c r="C65" s="22"/>
      <c r="D65" s="13" t="s">
        <v>255</v>
      </c>
      <c r="E65" s="42">
        <v>226</v>
      </c>
      <c r="F65" s="19">
        <v>377</v>
      </c>
      <c r="G65" s="43">
        <f t="shared" si="2"/>
        <v>0.0053775231</v>
      </c>
      <c r="H65" s="20">
        <v>0.00631563272601842</v>
      </c>
      <c r="I65" s="120">
        <f t="shared" si="3"/>
        <v>0.0116931558260184</v>
      </c>
      <c r="K65" s="53"/>
    </row>
    <row r="66" ht="15.75" spans="1:11">
      <c r="A66" s="83"/>
      <c r="B66" s="83"/>
      <c r="C66" s="22"/>
      <c r="D66" s="13" t="s">
        <v>283</v>
      </c>
      <c r="E66" s="42">
        <v>6847</v>
      </c>
      <c r="F66" s="19">
        <v>12779</v>
      </c>
      <c r="G66" s="43">
        <f t="shared" si="2"/>
        <v>0.16291991445</v>
      </c>
      <c r="H66" s="20">
        <v>0.23922044451057</v>
      </c>
      <c r="I66" s="120">
        <f t="shared" si="3"/>
        <v>0.40214035896057</v>
      </c>
      <c r="K66" s="53"/>
    </row>
    <row r="67" ht="15.75" spans="1:11">
      <c r="A67" s="83"/>
      <c r="B67" s="83"/>
      <c r="C67" s="22"/>
      <c r="D67" s="13" t="s">
        <v>281</v>
      </c>
      <c r="E67" s="42">
        <v>31940</v>
      </c>
      <c r="F67" s="19">
        <v>71672</v>
      </c>
      <c r="G67" s="43">
        <f t="shared" si="2"/>
        <v>0.759991539</v>
      </c>
      <c r="H67" s="20">
        <v>1.52396112240252</v>
      </c>
      <c r="I67" s="120">
        <f t="shared" si="3"/>
        <v>2.28395266140252</v>
      </c>
      <c r="K67" s="53"/>
    </row>
    <row r="68" ht="15.75" spans="1:11">
      <c r="A68" s="83"/>
      <c r="B68" s="83"/>
      <c r="C68" s="22"/>
      <c r="D68" s="13" t="s">
        <v>282</v>
      </c>
      <c r="E68" s="42">
        <v>30183</v>
      </c>
      <c r="F68" s="19">
        <v>62955</v>
      </c>
      <c r="G68" s="43">
        <f t="shared" si="2"/>
        <v>0.71818486605</v>
      </c>
      <c r="H68" s="20">
        <v>1.44183801636893</v>
      </c>
      <c r="I68" s="120">
        <f t="shared" si="3"/>
        <v>2.16002288241893</v>
      </c>
      <c r="K68" s="53"/>
    </row>
    <row r="69" ht="15.75" spans="1:11">
      <c r="A69" s="84"/>
      <c r="B69" s="84"/>
      <c r="C69" s="23"/>
      <c r="D69" s="13" t="s">
        <v>254</v>
      </c>
      <c r="E69" s="42">
        <v>754</v>
      </c>
      <c r="F69" s="19">
        <v>705</v>
      </c>
      <c r="G69" s="43">
        <f t="shared" si="2"/>
        <v>0.0179409399</v>
      </c>
      <c r="H69" s="20">
        <v>0.0171874464753464</v>
      </c>
      <c r="I69" s="120">
        <f t="shared" si="3"/>
        <v>0.0351283863753464</v>
      </c>
      <c r="K69" s="53"/>
    </row>
    <row r="70" ht="15.75" spans="1:11">
      <c r="A70" s="70">
        <v>4</v>
      </c>
      <c r="B70" s="70">
        <v>2011</v>
      </c>
      <c r="C70" s="11" t="s">
        <v>95</v>
      </c>
      <c r="D70" s="13" t="s">
        <v>54</v>
      </c>
      <c r="E70" s="42">
        <v>37828</v>
      </c>
      <c r="F70" s="19">
        <v>24255</v>
      </c>
      <c r="G70" s="43">
        <f t="shared" si="2"/>
        <v>0.9000926718</v>
      </c>
      <c r="H70" s="20">
        <v>0.63992668116</v>
      </c>
      <c r="I70" s="120">
        <f t="shared" si="3"/>
        <v>1.54001935296</v>
      </c>
      <c r="K70" s="53"/>
    </row>
    <row r="71" ht="15.75" spans="1:11">
      <c r="A71" s="83"/>
      <c r="B71" s="83"/>
      <c r="C71" s="23"/>
      <c r="D71" s="13" t="s">
        <v>51</v>
      </c>
      <c r="E71" s="42">
        <v>6450</v>
      </c>
      <c r="F71" s="19">
        <v>4594</v>
      </c>
      <c r="G71" s="43">
        <f t="shared" si="2"/>
        <v>0.1534735575</v>
      </c>
      <c r="H71" s="20">
        <v>0.130130685887667</v>
      </c>
      <c r="I71" s="120">
        <f t="shared" si="3"/>
        <v>0.283604243387667</v>
      </c>
      <c r="K71" s="53"/>
    </row>
    <row r="72" ht="15.75" spans="1:11">
      <c r="A72" s="83"/>
      <c r="B72" s="83"/>
      <c r="C72" s="11" t="s">
        <v>285</v>
      </c>
      <c r="D72" s="13" t="s">
        <v>279</v>
      </c>
      <c r="E72" s="42">
        <v>1506</v>
      </c>
      <c r="F72" s="19">
        <v>1635</v>
      </c>
      <c r="G72" s="43">
        <f t="shared" si="2"/>
        <v>0.0358342911</v>
      </c>
      <c r="H72" s="20">
        <v>0.03496877490667</v>
      </c>
      <c r="I72" s="120">
        <f t="shared" si="3"/>
        <v>0.07080306600667</v>
      </c>
      <c r="K72" s="53"/>
    </row>
    <row r="73" ht="15.75" spans="1:11">
      <c r="A73" s="83"/>
      <c r="B73" s="83"/>
      <c r="C73" s="23"/>
      <c r="D73" s="13" t="s">
        <v>278</v>
      </c>
      <c r="E73" s="42">
        <v>28229</v>
      </c>
      <c r="F73" s="19">
        <v>50676</v>
      </c>
      <c r="G73" s="43">
        <f t="shared" si="2"/>
        <v>0.67169070615</v>
      </c>
      <c r="H73" s="20">
        <v>0.843160241274937</v>
      </c>
      <c r="I73" s="120">
        <f t="shared" si="3"/>
        <v>1.51485094742494</v>
      </c>
      <c r="K73" s="53"/>
    </row>
    <row r="74" ht="15.75" spans="1:11">
      <c r="A74" s="83"/>
      <c r="B74" s="83"/>
      <c r="C74" s="11" t="s">
        <v>58</v>
      </c>
      <c r="D74" s="13" t="s">
        <v>59</v>
      </c>
      <c r="E74" s="42">
        <v>32939</v>
      </c>
      <c r="F74" s="19">
        <v>41551</v>
      </c>
      <c r="G74" s="43">
        <f t="shared" si="2"/>
        <v>0.78376209465</v>
      </c>
      <c r="H74" s="20">
        <v>1.00172059744637</v>
      </c>
      <c r="I74" s="120">
        <f t="shared" si="3"/>
        <v>1.78548269209637</v>
      </c>
      <c r="K74" s="53"/>
    </row>
    <row r="75" ht="15.75" spans="1:11">
      <c r="A75" s="83"/>
      <c r="B75" s="83"/>
      <c r="C75" s="23"/>
      <c r="D75" s="13" t="s">
        <v>58</v>
      </c>
      <c r="E75" s="42">
        <v>72599</v>
      </c>
      <c r="F75" s="19">
        <v>55805</v>
      </c>
      <c r="G75" s="43">
        <f t="shared" si="2"/>
        <v>1.72744601565</v>
      </c>
      <c r="H75" s="20">
        <v>0.90205896587617</v>
      </c>
      <c r="I75" s="120">
        <f t="shared" si="3"/>
        <v>2.62950498152617</v>
      </c>
      <c r="K75" s="53"/>
    </row>
    <row r="76" ht="15.75" spans="1:11">
      <c r="A76" s="83"/>
      <c r="B76" s="83"/>
      <c r="C76" s="11" t="s">
        <v>60</v>
      </c>
      <c r="D76" s="151" t="s">
        <v>277</v>
      </c>
      <c r="E76" s="42">
        <v>337199</v>
      </c>
      <c r="F76" s="19">
        <v>231728</v>
      </c>
      <c r="G76" s="43">
        <f t="shared" si="2"/>
        <v>8.02343102565</v>
      </c>
      <c r="H76" s="20">
        <v>4.53740086260124</v>
      </c>
      <c r="I76" s="120">
        <f t="shared" si="3"/>
        <v>12.5608318882512</v>
      </c>
      <c r="K76" s="53"/>
    </row>
    <row r="77" ht="15.75" spans="1:11">
      <c r="A77" s="83"/>
      <c r="B77" s="83"/>
      <c r="C77" s="22"/>
      <c r="D77" s="13" t="s">
        <v>275</v>
      </c>
      <c r="E77" s="42">
        <v>89760</v>
      </c>
      <c r="F77" s="19">
        <v>55960</v>
      </c>
      <c r="G77" s="43">
        <f t="shared" si="2"/>
        <v>2.135780856</v>
      </c>
      <c r="H77" s="20">
        <v>1.1655900799299</v>
      </c>
      <c r="I77" s="120">
        <f t="shared" si="3"/>
        <v>3.3013709359299</v>
      </c>
      <c r="K77" s="53"/>
    </row>
    <row r="78" ht="15.75" spans="1:11">
      <c r="A78" s="83"/>
      <c r="B78" s="83"/>
      <c r="C78" s="22"/>
      <c r="D78" s="13" t="s">
        <v>61</v>
      </c>
      <c r="E78" s="42">
        <v>62850</v>
      </c>
      <c r="F78" s="19">
        <v>62725</v>
      </c>
      <c r="G78" s="43">
        <f t="shared" si="2"/>
        <v>1.4954748975</v>
      </c>
      <c r="H78" s="20">
        <v>1.21165980213782</v>
      </c>
      <c r="I78" s="120">
        <f t="shared" si="3"/>
        <v>2.70713469963782</v>
      </c>
      <c r="K78" s="53"/>
    </row>
    <row r="79" ht="15.75" spans="1:11">
      <c r="A79" s="83"/>
      <c r="B79" s="83"/>
      <c r="C79" s="22"/>
      <c r="D79" s="151" t="s">
        <v>274</v>
      </c>
      <c r="E79" s="42">
        <v>20442</v>
      </c>
      <c r="F79" s="19">
        <v>19987</v>
      </c>
      <c r="G79" s="43">
        <f t="shared" si="2"/>
        <v>0.4864041027</v>
      </c>
      <c r="H79" s="20">
        <v>0.381067604644622</v>
      </c>
      <c r="I79" s="120">
        <f t="shared" si="3"/>
        <v>0.867471707344622</v>
      </c>
      <c r="K79" s="53"/>
    </row>
    <row r="80" ht="15.75" spans="1:11">
      <c r="A80" s="83"/>
      <c r="B80" s="83"/>
      <c r="C80" s="22"/>
      <c r="D80" s="13" t="s">
        <v>62</v>
      </c>
      <c r="E80" s="42">
        <v>20177</v>
      </c>
      <c r="F80" s="19">
        <v>25969</v>
      </c>
      <c r="G80" s="43">
        <f t="shared" si="2"/>
        <v>0.48009859995</v>
      </c>
      <c r="H80" s="20">
        <v>0.566223430991504</v>
      </c>
      <c r="I80" s="120">
        <f t="shared" si="3"/>
        <v>1.0463220309415</v>
      </c>
      <c r="K80" s="53"/>
    </row>
    <row r="81" ht="15.75" spans="1:11">
      <c r="A81" s="83"/>
      <c r="B81" s="83"/>
      <c r="C81" s="22"/>
      <c r="D81" s="13" t="s">
        <v>60</v>
      </c>
      <c r="E81" s="42">
        <v>37734</v>
      </c>
      <c r="F81" s="19">
        <v>41355</v>
      </c>
      <c r="G81" s="43">
        <f t="shared" si="2"/>
        <v>0.8978560029</v>
      </c>
      <c r="H81" s="20">
        <v>0.620105935723096</v>
      </c>
      <c r="I81" s="120">
        <f t="shared" si="3"/>
        <v>1.5179619386231</v>
      </c>
      <c r="K81" s="53"/>
    </row>
    <row r="82" ht="15.75" spans="1:11">
      <c r="A82" s="83"/>
      <c r="B82" s="83"/>
      <c r="C82" s="23"/>
      <c r="D82" s="13" t="s">
        <v>276</v>
      </c>
      <c r="E82" s="42">
        <v>9384</v>
      </c>
      <c r="F82" s="19">
        <v>6825</v>
      </c>
      <c r="G82" s="43">
        <f t="shared" ref="G82:G109" si="4">E82*(65.19*365)/POWER(10,9)</f>
        <v>0.2232861804</v>
      </c>
      <c r="H82" s="20">
        <v>0.13883312552655</v>
      </c>
      <c r="I82" s="120">
        <f t="shared" si="3"/>
        <v>0.36211930592655</v>
      </c>
      <c r="K82" s="53"/>
    </row>
    <row r="83" ht="15.75" spans="1:11">
      <c r="A83" s="83"/>
      <c r="B83" s="83"/>
      <c r="C83" s="11" t="s">
        <v>260</v>
      </c>
      <c r="D83" s="151" t="s">
        <v>284</v>
      </c>
      <c r="E83" s="42">
        <v>80</v>
      </c>
      <c r="F83" s="19">
        <v>131</v>
      </c>
      <c r="G83" s="43">
        <f t="shared" si="4"/>
        <v>0.001903548</v>
      </c>
      <c r="H83" s="20">
        <v>0.00278738410376349</v>
      </c>
      <c r="I83" s="120">
        <f t="shared" si="3"/>
        <v>0.00469093210376349</v>
      </c>
      <c r="K83" s="53"/>
    </row>
    <row r="84" ht="15.75" spans="1:11">
      <c r="A84" s="83"/>
      <c r="B84" s="83"/>
      <c r="C84" s="22"/>
      <c r="D84" s="13" t="s">
        <v>280</v>
      </c>
      <c r="E84" s="42">
        <v>49613</v>
      </c>
      <c r="F84" s="19">
        <v>81396</v>
      </c>
      <c r="G84" s="43">
        <f t="shared" si="4"/>
        <v>1.18050908655</v>
      </c>
      <c r="H84" s="20">
        <v>1.72411208725321</v>
      </c>
      <c r="I84" s="120">
        <f t="shared" si="3"/>
        <v>2.90462117380321</v>
      </c>
      <c r="K84" s="53"/>
    </row>
    <row r="85" ht="15.75" spans="1:11">
      <c r="A85" s="83"/>
      <c r="B85" s="83"/>
      <c r="C85" s="22"/>
      <c r="D85" s="13" t="s">
        <v>255</v>
      </c>
      <c r="E85" s="42">
        <v>256</v>
      </c>
      <c r="F85" s="19">
        <v>347</v>
      </c>
      <c r="G85" s="43">
        <f t="shared" si="4"/>
        <v>0.0060913536</v>
      </c>
      <c r="H85" s="20">
        <v>0.00772982087770836</v>
      </c>
      <c r="I85" s="120">
        <f t="shared" si="3"/>
        <v>0.0138211744777084</v>
      </c>
      <c r="K85" s="53"/>
    </row>
    <row r="86" ht="15.75" spans="1:11">
      <c r="A86" s="83"/>
      <c r="B86" s="83"/>
      <c r="C86" s="22"/>
      <c r="D86" s="13" t="s">
        <v>283</v>
      </c>
      <c r="E86" s="42">
        <v>7745</v>
      </c>
      <c r="F86" s="19">
        <v>13065</v>
      </c>
      <c r="G86" s="43">
        <f t="shared" si="4"/>
        <v>0.18428724075</v>
      </c>
      <c r="H86" s="20">
        <v>0.23552856486969</v>
      </c>
      <c r="I86" s="120">
        <f t="shared" si="3"/>
        <v>0.41981580561969</v>
      </c>
      <c r="K86" s="53"/>
    </row>
    <row r="87" ht="15.75" spans="1:11">
      <c r="A87" s="83"/>
      <c r="B87" s="83"/>
      <c r="C87" s="22"/>
      <c r="D87" s="13" t="s">
        <v>281</v>
      </c>
      <c r="E87" s="42">
        <v>36133</v>
      </c>
      <c r="F87" s="19">
        <v>43304</v>
      </c>
      <c r="G87" s="43">
        <f t="shared" si="4"/>
        <v>0.85976124855</v>
      </c>
      <c r="H87" s="20">
        <v>0.826786768355646</v>
      </c>
      <c r="I87" s="120">
        <f t="shared" si="3"/>
        <v>1.68654801690565</v>
      </c>
      <c r="K87" s="53"/>
    </row>
    <row r="88" ht="15.75" spans="1:11">
      <c r="A88" s="83"/>
      <c r="B88" s="83"/>
      <c r="C88" s="22"/>
      <c r="D88" s="13" t="s">
        <v>282</v>
      </c>
      <c r="E88" s="42">
        <v>34145</v>
      </c>
      <c r="F88" s="19">
        <v>94828</v>
      </c>
      <c r="G88" s="43">
        <f t="shared" si="4"/>
        <v>0.81245808075</v>
      </c>
      <c r="H88" s="20">
        <v>1.12537815995784</v>
      </c>
      <c r="I88" s="120">
        <f t="shared" si="3"/>
        <v>1.93783624070784</v>
      </c>
      <c r="K88" s="53"/>
    </row>
    <row r="89" ht="15.75" spans="1:11">
      <c r="A89" s="84"/>
      <c r="B89" s="84"/>
      <c r="C89" s="23"/>
      <c r="D89" s="13" t="s">
        <v>254</v>
      </c>
      <c r="E89" s="42">
        <v>853</v>
      </c>
      <c r="F89" s="19">
        <v>1032</v>
      </c>
      <c r="G89" s="43">
        <f t="shared" si="4"/>
        <v>0.02029658055</v>
      </c>
      <c r="H89" s="20">
        <v>0.0126515063529506</v>
      </c>
      <c r="I89" s="120">
        <f t="shared" si="3"/>
        <v>0.0329480869029506</v>
      </c>
      <c r="K89" s="53"/>
    </row>
    <row r="90" ht="15.75" spans="1:11">
      <c r="A90" s="70">
        <v>5</v>
      </c>
      <c r="B90" s="70">
        <v>2021</v>
      </c>
      <c r="C90" s="11" t="s">
        <v>95</v>
      </c>
      <c r="D90" s="13" t="s">
        <v>54</v>
      </c>
      <c r="E90" s="42">
        <v>43507</v>
      </c>
      <c r="F90" s="19">
        <v>19954</v>
      </c>
      <c r="G90" s="43">
        <f t="shared" si="4"/>
        <v>1.03522078545</v>
      </c>
      <c r="H90" s="20">
        <v>0.468665318571429</v>
      </c>
      <c r="I90" s="120">
        <f t="shared" si="3"/>
        <v>1.50388610402143</v>
      </c>
      <c r="K90" s="53"/>
    </row>
    <row r="91" ht="15.75" spans="1:11">
      <c r="A91" s="83"/>
      <c r="B91" s="83"/>
      <c r="C91" s="23"/>
      <c r="D91" s="13" t="s">
        <v>51</v>
      </c>
      <c r="E91" s="42">
        <v>7419</v>
      </c>
      <c r="F91" s="19">
        <v>3076</v>
      </c>
      <c r="G91" s="43">
        <f t="shared" si="4"/>
        <v>0.17653028265</v>
      </c>
      <c r="H91" s="20">
        <v>0.0961263279955375</v>
      </c>
      <c r="I91" s="120">
        <f t="shared" si="3"/>
        <v>0.272656610645537</v>
      </c>
      <c r="K91" s="53"/>
    </row>
    <row r="92" ht="15.75" spans="1:11">
      <c r="A92" s="83"/>
      <c r="B92" s="83"/>
      <c r="C92" s="11" t="s">
        <v>285</v>
      </c>
      <c r="D92" s="13" t="s">
        <v>279</v>
      </c>
      <c r="E92" s="42">
        <v>1599</v>
      </c>
      <c r="F92" s="19">
        <v>2408</v>
      </c>
      <c r="G92" s="43">
        <f t="shared" si="4"/>
        <v>0.03804716565</v>
      </c>
      <c r="H92" s="20">
        <v>0.0474147998081482</v>
      </c>
      <c r="I92" s="120">
        <f t="shared" si="3"/>
        <v>0.0854619654581482</v>
      </c>
      <c r="K92" s="53"/>
    </row>
    <row r="93" ht="15.75" spans="1:11">
      <c r="A93" s="83"/>
      <c r="B93" s="83"/>
      <c r="C93" s="23"/>
      <c r="D93" s="13" t="s">
        <v>278</v>
      </c>
      <c r="E93" s="42">
        <v>29963</v>
      </c>
      <c r="F93" s="19">
        <v>63100</v>
      </c>
      <c r="G93" s="43">
        <f t="shared" si="4"/>
        <v>0.71295010905</v>
      </c>
      <c r="H93" s="20">
        <v>0.719346216988393</v>
      </c>
      <c r="I93" s="120">
        <f t="shared" si="3"/>
        <v>1.43229632603839</v>
      </c>
      <c r="K93" s="53"/>
    </row>
    <row r="94" ht="15.75" spans="1:11">
      <c r="A94" s="83"/>
      <c r="B94" s="83"/>
      <c r="C94" s="11" t="s">
        <v>58</v>
      </c>
      <c r="D94" s="13" t="s">
        <v>59</v>
      </c>
      <c r="E94" s="42">
        <v>35850</v>
      </c>
      <c r="F94" s="19">
        <v>52810</v>
      </c>
      <c r="G94" s="43">
        <f t="shared" si="4"/>
        <v>0.8530274475</v>
      </c>
      <c r="H94" s="20">
        <v>1.02744348404111</v>
      </c>
      <c r="I94" s="120">
        <f t="shared" si="3"/>
        <v>1.88047093154111</v>
      </c>
      <c r="K94" s="53"/>
    </row>
    <row r="95" ht="15.75" spans="1:11">
      <c r="A95" s="83"/>
      <c r="B95" s="83"/>
      <c r="C95" s="23"/>
      <c r="D95" s="13" t="s">
        <v>58</v>
      </c>
      <c r="E95" s="42">
        <v>79014</v>
      </c>
      <c r="F95" s="19">
        <v>30699</v>
      </c>
      <c r="G95" s="43">
        <f t="shared" si="4"/>
        <v>1.8800867709</v>
      </c>
      <c r="H95" s="20">
        <v>0.613396359549007</v>
      </c>
      <c r="I95" s="120">
        <f t="shared" si="3"/>
        <v>2.49348313044901</v>
      </c>
      <c r="K95" s="53"/>
    </row>
    <row r="96" ht="15.75" spans="1:11">
      <c r="A96" s="83"/>
      <c r="B96" s="83"/>
      <c r="C96" s="11" t="s">
        <v>60</v>
      </c>
      <c r="D96" s="151" t="s">
        <v>277</v>
      </c>
      <c r="E96" s="42">
        <v>384957</v>
      </c>
      <c r="F96" s="19">
        <v>252574</v>
      </c>
      <c r="G96" s="43">
        <f t="shared" si="4"/>
        <v>9.15980159295</v>
      </c>
      <c r="H96" s="20">
        <v>3.89660064208059</v>
      </c>
      <c r="I96" s="120">
        <f t="shared" si="3"/>
        <v>13.0564022350306</v>
      </c>
      <c r="K96" s="53"/>
    </row>
    <row r="97" ht="15.75" spans="1:11">
      <c r="A97" s="83"/>
      <c r="B97" s="83"/>
      <c r="C97" s="22"/>
      <c r="D97" s="13" t="s">
        <v>275</v>
      </c>
      <c r="E97" s="42">
        <v>102473</v>
      </c>
      <c r="F97" s="19">
        <v>190771</v>
      </c>
      <c r="G97" s="43">
        <f t="shared" si="4"/>
        <v>2.43827842755</v>
      </c>
      <c r="H97" s="20">
        <v>1.10384307599186</v>
      </c>
      <c r="I97" s="120">
        <f t="shared" si="3"/>
        <v>3.54212150354186</v>
      </c>
      <c r="K97" s="53"/>
    </row>
    <row r="98" ht="15.75" spans="1:11">
      <c r="A98" s="83"/>
      <c r="B98" s="83"/>
      <c r="C98" s="22"/>
      <c r="D98" s="13" t="s">
        <v>61</v>
      </c>
      <c r="E98" s="42">
        <v>71752</v>
      </c>
      <c r="F98" s="19">
        <v>34591</v>
      </c>
      <c r="G98" s="43">
        <f t="shared" si="4"/>
        <v>1.7072922012</v>
      </c>
      <c r="H98" s="20">
        <v>0.949998603904368</v>
      </c>
      <c r="I98" s="120">
        <f t="shared" si="3"/>
        <v>2.65729080510437</v>
      </c>
      <c r="K98" s="53"/>
    </row>
    <row r="99" ht="15.75" spans="1:11">
      <c r="A99" s="83"/>
      <c r="B99" s="83"/>
      <c r="C99" s="22"/>
      <c r="D99" s="151" t="s">
        <v>274</v>
      </c>
      <c r="E99" s="42">
        <v>23337</v>
      </c>
      <c r="F99" s="19">
        <v>17840</v>
      </c>
      <c r="G99" s="43">
        <f t="shared" si="4"/>
        <v>0.55528874595</v>
      </c>
      <c r="H99" s="20">
        <v>0.374780344938525</v>
      </c>
      <c r="I99" s="120">
        <f t="shared" si="3"/>
        <v>0.930069090888525</v>
      </c>
      <c r="K99" s="53"/>
    </row>
    <row r="100" ht="15.75" spans="1:11">
      <c r="A100" s="83"/>
      <c r="B100" s="83"/>
      <c r="C100" s="22"/>
      <c r="D100" s="13" t="s">
        <v>62</v>
      </c>
      <c r="E100" s="42">
        <v>23034</v>
      </c>
      <c r="F100" s="19">
        <v>14138</v>
      </c>
      <c r="G100" s="43">
        <f t="shared" si="4"/>
        <v>0.5480790579</v>
      </c>
      <c r="H100" s="20">
        <v>0.350240940623025</v>
      </c>
      <c r="I100" s="120">
        <f t="shared" si="3"/>
        <v>0.898319998523025</v>
      </c>
      <c r="K100" s="53"/>
    </row>
    <row r="101" ht="15.75" spans="1:11">
      <c r="A101" s="83"/>
      <c r="B101" s="83"/>
      <c r="C101" s="22"/>
      <c r="D101" s="13" t="s">
        <v>60</v>
      </c>
      <c r="E101" s="42">
        <v>43079</v>
      </c>
      <c r="F101" s="19">
        <v>16070</v>
      </c>
      <c r="G101" s="43">
        <f t="shared" si="4"/>
        <v>1.02503680365</v>
      </c>
      <c r="H101" s="20">
        <v>0.397214976915016</v>
      </c>
      <c r="I101" s="120">
        <f t="shared" si="3"/>
        <v>1.42225178056502</v>
      </c>
      <c r="K101" s="53"/>
    </row>
    <row r="102" ht="15.75" spans="1:11">
      <c r="A102" s="83"/>
      <c r="B102" s="83"/>
      <c r="C102" s="23"/>
      <c r="D102" s="13" t="s">
        <v>276</v>
      </c>
      <c r="E102" s="42">
        <v>10713</v>
      </c>
      <c r="F102" s="19">
        <v>3812</v>
      </c>
      <c r="G102" s="43">
        <f t="shared" si="4"/>
        <v>0.25490887155</v>
      </c>
      <c r="H102" s="20">
        <v>0.102411340382186</v>
      </c>
      <c r="I102" s="120">
        <f t="shared" si="3"/>
        <v>0.357320211932186</v>
      </c>
      <c r="K102" s="53"/>
    </row>
    <row r="103" ht="15.75" spans="1:11">
      <c r="A103" s="83"/>
      <c r="B103" s="83"/>
      <c r="C103" s="11" t="s">
        <v>260</v>
      </c>
      <c r="D103" s="151" t="s">
        <v>284</v>
      </c>
      <c r="E103" s="42">
        <v>87</v>
      </c>
      <c r="F103" s="19">
        <v>196</v>
      </c>
      <c r="G103" s="43">
        <f t="shared" si="4"/>
        <v>0.00207010845</v>
      </c>
      <c r="H103" s="20">
        <v>0.00271627262916964</v>
      </c>
      <c r="I103" s="120">
        <f t="shared" si="3"/>
        <v>0.00478638107916964</v>
      </c>
      <c r="K103" s="53"/>
    </row>
    <row r="104" ht="15.75" spans="1:11">
      <c r="A104" s="83"/>
      <c r="B104" s="83"/>
      <c r="C104" s="22"/>
      <c r="D104" s="13" t="s">
        <v>280</v>
      </c>
      <c r="E104" s="42">
        <v>53768</v>
      </c>
      <c r="F104" s="19">
        <v>130520</v>
      </c>
      <c r="G104" s="43">
        <f t="shared" si="4"/>
        <v>1.2793746108</v>
      </c>
      <c r="H104" s="20">
        <v>1.80047470876929</v>
      </c>
      <c r="I104" s="120">
        <f t="shared" si="3"/>
        <v>3.07984931956929</v>
      </c>
      <c r="K104" s="53"/>
    </row>
    <row r="105" ht="15.75" spans="1:11">
      <c r="A105" s="83"/>
      <c r="B105" s="83"/>
      <c r="C105" s="22"/>
      <c r="D105" s="13" t="s">
        <v>255</v>
      </c>
      <c r="E105" s="42">
        <v>277</v>
      </c>
      <c r="F105" s="19">
        <v>581</v>
      </c>
      <c r="G105" s="43">
        <f t="shared" si="4"/>
        <v>0.00659103495</v>
      </c>
      <c r="H105" s="20">
        <v>0.012095099211975</v>
      </c>
      <c r="I105" s="120">
        <f t="shared" si="3"/>
        <v>0.018686134161975</v>
      </c>
      <c r="K105" s="53"/>
    </row>
    <row r="106" ht="15.75" spans="1:11">
      <c r="A106" s="83"/>
      <c r="B106" s="83"/>
      <c r="C106" s="22"/>
      <c r="D106" s="13" t="s">
        <v>283</v>
      </c>
      <c r="E106" s="42">
        <v>8394</v>
      </c>
      <c r="F106" s="19">
        <v>21674</v>
      </c>
      <c r="G106" s="43">
        <f t="shared" si="4"/>
        <v>0.1997297739</v>
      </c>
      <c r="H106" s="20">
        <v>0.320072910004955</v>
      </c>
      <c r="I106" s="120">
        <f t="shared" si="3"/>
        <v>0.519802683904955</v>
      </c>
      <c r="K106" s="53"/>
    </row>
    <row r="107" ht="15.75" spans="1:11">
      <c r="A107" s="83"/>
      <c r="B107" s="83"/>
      <c r="C107" s="22"/>
      <c r="D107" s="13" t="s">
        <v>281</v>
      </c>
      <c r="E107" s="42">
        <v>39159</v>
      </c>
      <c r="F107" s="19">
        <v>60519</v>
      </c>
      <c r="G107" s="43">
        <f t="shared" si="4"/>
        <v>0.93176295165</v>
      </c>
      <c r="H107" s="20">
        <v>1.10042373144144</v>
      </c>
      <c r="I107" s="120">
        <f t="shared" si="3"/>
        <v>2.03218668309144</v>
      </c>
      <c r="K107" s="53"/>
    </row>
    <row r="108" ht="15.75" spans="1:11">
      <c r="A108" s="83"/>
      <c r="B108" s="83"/>
      <c r="C108" s="22"/>
      <c r="D108" s="13" t="s">
        <v>282</v>
      </c>
      <c r="E108" s="42">
        <v>37005</v>
      </c>
      <c r="F108" s="19">
        <v>50577</v>
      </c>
      <c r="G108" s="43">
        <f t="shared" si="4"/>
        <v>0.88050992175</v>
      </c>
      <c r="H108" s="20">
        <v>0.925828864904414</v>
      </c>
      <c r="I108" s="120">
        <f t="shared" si="3"/>
        <v>1.80633878665441</v>
      </c>
      <c r="K108" s="53"/>
    </row>
    <row r="109" ht="15.75" spans="1:11">
      <c r="A109" s="84"/>
      <c r="B109" s="84"/>
      <c r="C109" s="23"/>
      <c r="D109" s="13" t="s">
        <v>254</v>
      </c>
      <c r="E109" s="42">
        <v>924</v>
      </c>
      <c r="F109" s="19">
        <v>484</v>
      </c>
      <c r="G109" s="43">
        <f t="shared" si="4"/>
        <v>0.0219859794</v>
      </c>
      <c r="H109" s="20">
        <v>0.0137975357584714</v>
      </c>
      <c r="I109" s="120">
        <f t="shared" si="3"/>
        <v>0.0357835151584714</v>
      </c>
      <c r="K109" s="53"/>
    </row>
    <row r="110" ht="19.5" customHeight="1"/>
    <row r="111" ht="19.5" customHeight="1" spans="1:9">
      <c r="A111" s="40" t="s">
        <v>81</v>
      </c>
      <c r="B111" s="40"/>
      <c r="C111" s="40"/>
      <c r="D111" s="40"/>
      <c r="E111" s="152"/>
      <c r="F111" s="152"/>
      <c r="G111" s="8" t="s">
        <v>8</v>
      </c>
      <c r="H111" s="8"/>
      <c r="I111" s="8"/>
    </row>
    <row r="112" ht="19.5" customHeight="1" spans="1:9">
      <c r="A112" s="35" t="s">
        <v>103</v>
      </c>
      <c r="B112" s="35" t="s">
        <v>10</v>
      </c>
      <c r="C112" s="35" t="s">
        <v>11</v>
      </c>
      <c r="D112" s="35" t="s">
        <v>83</v>
      </c>
      <c r="E112" s="35" t="s">
        <v>13</v>
      </c>
      <c r="F112" s="35" t="s">
        <v>84</v>
      </c>
      <c r="G112" s="35" t="s">
        <v>15</v>
      </c>
      <c r="H112" s="35" t="s">
        <v>16</v>
      </c>
      <c r="I112" s="35" t="s">
        <v>17</v>
      </c>
    </row>
    <row r="113" ht="19.5" customHeight="1" spans="1:9">
      <c r="A113" s="9" t="s">
        <v>18</v>
      </c>
      <c r="B113" s="10" t="s">
        <v>19</v>
      </c>
      <c r="C113" s="9" t="s">
        <v>20</v>
      </c>
      <c r="D113" s="10" t="s">
        <v>21</v>
      </c>
      <c r="E113" s="10" t="s">
        <v>22</v>
      </c>
      <c r="F113" s="10" t="s">
        <v>23</v>
      </c>
      <c r="G113" s="10" t="s">
        <v>24</v>
      </c>
      <c r="H113" s="10" t="s">
        <v>25</v>
      </c>
      <c r="I113" s="10" t="s">
        <v>26</v>
      </c>
    </row>
    <row r="114" ht="36.75" customHeight="1" spans="1:9">
      <c r="A114" s="12">
        <v>1</v>
      </c>
      <c r="B114" s="11">
        <v>1981</v>
      </c>
      <c r="C114" s="12" t="s">
        <v>60</v>
      </c>
      <c r="D114" s="149" t="s">
        <v>277</v>
      </c>
      <c r="E114" s="10">
        <v>8309</v>
      </c>
      <c r="F114" s="15" t="s">
        <v>29</v>
      </c>
      <c r="G114" s="43">
        <f t="shared" ref="G114:G136" si="5">E114*162*365/POWER(10,9)</f>
        <v>0.49131117</v>
      </c>
      <c r="H114" s="15" t="s">
        <v>29</v>
      </c>
      <c r="I114" s="153">
        <f>G114</f>
        <v>0.49131117</v>
      </c>
    </row>
    <row r="115" ht="39" customHeight="1" spans="1:9">
      <c r="A115" s="21"/>
      <c r="B115" s="23"/>
      <c r="C115" s="21"/>
      <c r="D115" s="149" t="s">
        <v>61</v>
      </c>
      <c r="E115" s="10">
        <v>12342</v>
      </c>
      <c r="F115" s="15" t="s">
        <v>29</v>
      </c>
      <c r="G115" s="43">
        <f t="shared" si="5"/>
        <v>0.72978246</v>
      </c>
      <c r="H115" s="15" t="s">
        <v>29</v>
      </c>
      <c r="I115" s="153">
        <f t="shared" ref="I115:I118" si="6">G115</f>
        <v>0.72978246</v>
      </c>
    </row>
    <row r="116" ht="19.5" customHeight="1" spans="1:9">
      <c r="A116" s="12">
        <v>2</v>
      </c>
      <c r="B116" s="11">
        <v>1991</v>
      </c>
      <c r="C116" s="12" t="s">
        <v>60</v>
      </c>
      <c r="D116" s="149" t="s">
        <v>277</v>
      </c>
      <c r="E116" s="10">
        <v>11000</v>
      </c>
      <c r="F116" s="15" t="s">
        <v>29</v>
      </c>
      <c r="G116" s="43">
        <f t="shared" si="5"/>
        <v>0.65043</v>
      </c>
      <c r="H116" s="15" t="s">
        <v>29</v>
      </c>
      <c r="I116" s="153">
        <f t="shared" si="6"/>
        <v>0.65043</v>
      </c>
    </row>
    <row r="117" ht="19.5" customHeight="1" spans="1:9">
      <c r="A117" s="17"/>
      <c r="B117" s="22"/>
      <c r="C117" s="17"/>
      <c r="D117" s="149" t="s">
        <v>61</v>
      </c>
      <c r="E117" s="10">
        <v>14236</v>
      </c>
      <c r="F117" s="15" t="s">
        <v>29</v>
      </c>
      <c r="G117" s="43">
        <f t="shared" si="5"/>
        <v>0.84177468</v>
      </c>
      <c r="H117" s="15" t="s">
        <v>29</v>
      </c>
      <c r="I117" s="153">
        <f t="shared" si="6"/>
        <v>0.84177468</v>
      </c>
    </row>
    <row r="118" ht="19.5" customHeight="1" spans="1:9">
      <c r="A118" s="21"/>
      <c r="B118" s="23"/>
      <c r="C118" s="21"/>
      <c r="D118" s="149" t="s">
        <v>275</v>
      </c>
      <c r="E118" s="10">
        <v>7040</v>
      </c>
      <c r="F118" s="15" t="s">
        <v>29</v>
      </c>
      <c r="G118" s="43">
        <f t="shared" si="5"/>
        <v>0.4162752</v>
      </c>
      <c r="H118" s="15" t="s">
        <v>29</v>
      </c>
      <c r="I118" s="153">
        <f t="shared" si="6"/>
        <v>0.4162752</v>
      </c>
    </row>
    <row r="119" ht="19.5" customHeight="1" spans="1:9">
      <c r="A119" s="70">
        <v>3</v>
      </c>
      <c r="B119" s="70">
        <v>2001</v>
      </c>
      <c r="C119" s="88" t="s">
        <v>48</v>
      </c>
      <c r="D119" s="92" t="s">
        <v>286</v>
      </c>
      <c r="E119" s="15">
        <v>6083</v>
      </c>
      <c r="F119" s="19">
        <v>2001</v>
      </c>
      <c r="G119" s="43">
        <f t="shared" si="5"/>
        <v>0.35968779</v>
      </c>
      <c r="H119" s="20">
        <v>0.0699879631196238</v>
      </c>
      <c r="I119" s="20">
        <f>G119+H119</f>
        <v>0.429675753119624</v>
      </c>
    </row>
    <row r="120" ht="17.25" customHeight="1" spans="1:9">
      <c r="A120" s="83"/>
      <c r="B120" s="83"/>
      <c r="C120" s="106"/>
      <c r="D120" s="92" t="s">
        <v>287</v>
      </c>
      <c r="E120" s="15">
        <v>6775</v>
      </c>
      <c r="F120" s="15" t="s">
        <v>29</v>
      </c>
      <c r="G120" s="43">
        <f t="shared" si="5"/>
        <v>0.40060575</v>
      </c>
      <c r="H120" s="15" t="s">
        <v>29</v>
      </c>
      <c r="I120" s="153">
        <f>G120</f>
        <v>0.40060575</v>
      </c>
    </row>
    <row r="121" ht="17.25" customHeight="1" spans="1:9">
      <c r="A121" s="83"/>
      <c r="B121" s="83"/>
      <c r="C121" s="12" t="s">
        <v>60</v>
      </c>
      <c r="D121" s="149" t="s">
        <v>277</v>
      </c>
      <c r="E121" s="15">
        <v>13598</v>
      </c>
      <c r="F121" s="19">
        <v>6030</v>
      </c>
      <c r="G121" s="43">
        <f t="shared" si="5"/>
        <v>0.80404974</v>
      </c>
      <c r="H121" s="20">
        <v>0.110809947488246</v>
      </c>
      <c r="I121" s="20">
        <f>G121+H121</f>
        <v>0.914859687488246</v>
      </c>
    </row>
    <row r="122" ht="17.25" customHeight="1" spans="1:9">
      <c r="A122" s="83"/>
      <c r="B122" s="83"/>
      <c r="C122" s="17"/>
      <c r="D122" s="149" t="s">
        <v>275</v>
      </c>
      <c r="E122" s="15">
        <v>8103</v>
      </c>
      <c r="F122" s="19">
        <v>3394</v>
      </c>
      <c r="G122" s="43">
        <f t="shared" si="5"/>
        <v>0.47913039</v>
      </c>
      <c r="H122" s="20">
        <v>0.0642507793888269</v>
      </c>
      <c r="I122" s="20">
        <f>G122+H122</f>
        <v>0.543381169388827</v>
      </c>
    </row>
    <row r="123" ht="17.25" customHeight="1" spans="1:9">
      <c r="A123" s="83"/>
      <c r="B123" s="83"/>
      <c r="C123" s="21"/>
      <c r="D123" s="149" t="s">
        <v>61</v>
      </c>
      <c r="E123" s="15">
        <v>17388</v>
      </c>
      <c r="F123" s="19">
        <v>4050</v>
      </c>
      <c r="G123" s="43">
        <f t="shared" si="5"/>
        <v>1.02815244</v>
      </c>
      <c r="H123" s="20">
        <v>0.0671643582940413</v>
      </c>
      <c r="I123" s="20">
        <f>G123+H123</f>
        <v>1.09531679829404</v>
      </c>
    </row>
    <row r="124" ht="17.25" customHeight="1" spans="1:9">
      <c r="A124" s="84"/>
      <c r="B124" s="84"/>
      <c r="C124" s="9" t="s">
        <v>260</v>
      </c>
      <c r="D124" s="149" t="s">
        <v>282</v>
      </c>
      <c r="E124" s="15">
        <v>8265</v>
      </c>
      <c r="F124" s="15" t="s">
        <v>29</v>
      </c>
      <c r="G124" s="43">
        <f t="shared" si="5"/>
        <v>0.48870945</v>
      </c>
      <c r="H124" s="15" t="s">
        <v>29</v>
      </c>
      <c r="I124" s="153">
        <f>G124</f>
        <v>0.48870945</v>
      </c>
    </row>
    <row r="125" ht="17.25" customHeight="1" spans="1:9">
      <c r="A125" s="70">
        <v>4</v>
      </c>
      <c r="B125" s="70">
        <v>2011</v>
      </c>
      <c r="C125" s="88" t="s">
        <v>95</v>
      </c>
      <c r="D125" s="92" t="s">
        <v>286</v>
      </c>
      <c r="E125" s="15">
        <v>7272</v>
      </c>
      <c r="F125" s="19">
        <v>3773</v>
      </c>
      <c r="G125" s="43">
        <f t="shared" si="5"/>
        <v>0.42999336</v>
      </c>
      <c r="H125" s="20">
        <v>0.10141431925</v>
      </c>
      <c r="I125" s="20">
        <f t="shared" ref="I125:I136" si="7">G125+H125</f>
        <v>0.53140767925</v>
      </c>
    </row>
    <row r="126" ht="17.25" customHeight="1" spans="1:9">
      <c r="A126" s="83"/>
      <c r="B126" s="83"/>
      <c r="C126" s="106"/>
      <c r="D126" s="92" t="s">
        <v>287</v>
      </c>
      <c r="E126" s="15">
        <v>7688</v>
      </c>
      <c r="F126" s="19">
        <v>1873</v>
      </c>
      <c r="G126" s="43">
        <f t="shared" si="5"/>
        <v>0.45459144</v>
      </c>
      <c r="H126" s="20">
        <v>0.030258427</v>
      </c>
      <c r="I126" s="20">
        <f t="shared" si="7"/>
        <v>0.484849867</v>
      </c>
    </row>
    <row r="127" ht="17.25" customHeight="1" spans="1:9">
      <c r="A127" s="83"/>
      <c r="B127" s="83"/>
      <c r="C127" s="12" t="s">
        <v>60</v>
      </c>
      <c r="D127" s="149" t="s">
        <v>277</v>
      </c>
      <c r="E127" s="15">
        <v>14354</v>
      </c>
      <c r="F127" s="19">
        <v>11096</v>
      </c>
      <c r="G127" s="43">
        <f t="shared" si="5"/>
        <v>0.84875202</v>
      </c>
      <c r="H127" s="20">
        <v>0.124899058</v>
      </c>
      <c r="I127" s="20">
        <f t="shared" si="7"/>
        <v>0.973651078</v>
      </c>
    </row>
    <row r="128" ht="17.25" customHeight="1" spans="1:9">
      <c r="A128" s="83"/>
      <c r="B128" s="83"/>
      <c r="C128" s="17"/>
      <c r="D128" s="149" t="s">
        <v>275</v>
      </c>
      <c r="E128" s="15">
        <v>9455</v>
      </c>
      <c r="F128" s="19">
        <v>3367</v>
      </c>
      <c r="G128" s="43">
        <f t="shared" si="5"/>
        <v>0.55907415</v>
      </c>
      <c r="H128" s="20">
        <v>0.067387103</v>
      </c>
      <c r="I128" s="20">
        <f t="shared" si="7"/>
        <v>0.626461253</v>
      </c>
    </row>
    <row r="129" ht="15.75" spans="1:9">
      <c r="A129" s="83"/>
      <c r="B129" s="83"/>
      <c r="C129" s="21"/>
      <c r="D129" s="149" t="s">
        <v>61</v>
      </c>
      <c r="E129" s="15">
        <v>18939</v>
      </c>
      <c r="F129" s="19">
        <v>3574</v>
      </c>
      <c r="G129" s="43">
        <f t="shared" si="5"/>
        <v>1.11986307</v>
      </c>
      <c r="H129" s="20">
        <v>0.0424146425</v>
      </c>
      <c r="I129" s="20">
        <f t="shared" si="7"/>
        <v>1.1622777125</v>
      </c>
    </row>
    <row r="130" ht="15.75" spans="1:9">
      <c r="A130" s="84"/>
      <c r="B130" s="84"/>
      <c r="C130" s="9" t="s">
        <v>260</v>
      </c>
      <c r="D130" s="149" t="s">
        <v>282</v>
      </c>
      <c r="E130" s="15">
        <v>9361</v>
      </c>
      <c r="F130" s="19">
        <v>3273</v>
      </c>
      <c r="G130" s="43">
        <f t="shared" si="5"/>
        <v>0.55351593</v>
      </c>
      <c r="H130" s="20">
        <v>0.069942541</v>
      </c>
      <c r="I130" s="20">
        <f t="shared" si="7"/>
        <v>0.623458471</v>
      </c>
    </row>
    <row r="131" ht="19.5" customHeight="1" spans="1:9">
      <c r="A131" s="70">
        <v>5</v>
      </c>
      <c r="B131" s="70">
        <v>2021</v>
      </c>
      <c r="C131" s="88" t="s">
        <v>95</v>
      </c>
      <c r="D131" s="92" t="s">
        <v>286</v>
      </c>
      <c r="E131" s="15">
        <v>8461</v>
      </c>
      <c r="F131" s="19">
        <v>1952</v>
      </c>
      <c r="G131" s="43">
        <f t="shared" si="5"/>
        <v>0.50029893</v>
      </c>
      <c r="H131" s="20">
        <v>0.0700401628571429</v>
      </c>
      <c r="I131" s="20">
        <f t="shared" si="7"/>
        <v>0.570339092857143</v>
      </c>
    </row>
    <row r="132" ht="15" customHeight="1" spans="1:9">
      <c r="A132" s="83"/>
      <c r="B132" s="83"/>
      <c r="C132" s="106"/>
      <c r="D132" s="92" t="s">
        <v>287</v>
      </c>
      <c r="E132" s="15">
        <v>8601</v>
      </c>
      <c r="F132" s="19">
        <v>4036</v>
      </c>
      <c r="G132" s="43">
        <f t="shared" si="5"/>
        <v>0.50857713</v>
      </c>
      <c r="H132" s="20">
        <v>0.0631847589285714</v>
      </c>
      <c r="I132" s="20">
        <f t="shared" si="7"/>
        <v>0.571761888928571</v>
      </c>
    </row>
    <row r="133" ht="15" customHeight="1" spans="1:9">
      <c r="A133" s="83"/>
      <c r="B133" s="83"/>
      <c r="C133" s="12" t="s">
        <v>60</v>
      </c>
      <c r="D133" s="149" t="s">
        <v>277</v>
      </c>
      <c r="E133" s="15">
        <v>16369</v>
      </c>
      <c r="F133" s="19">
        <v>4319</v>
      </c>
      <c r="G133" s="43">
        <f t="shared" si="5"/>
        <v>0.96789897</v>
      </c>
      <c r="H133" s="20">
        <v>0.101554249821429</v>
      </c>
      <c r="I133" s="20">
        <f t="shared" si="7"/>
        <v>1.06945321982143</v>
      </c>
    </row>
    <row r="134" ht="15" customHeight="1" spans="1:9">
      <c r="A134" s="83"/>
      <c r="B134" s="83"/>
      <c r="C134" s="17"/>
      <c r="D134" s="149" t="s">
        <v>275</v>
      </c>
      <c r="E134" s="15">
        <v>10952</v>
      </c>
      <c r="F134" s="19">
        <v>1175</v>
      </c>
      <c r="G134" s="43">
        <f t="shared" si="5"/>
        <v>0.64759176</v>
      </c>
      <c r="H134" s="20">
        <v>0.0413631557142857</v>
      </c>
      <c r="I134" s="20">
        <f t="shared" si="7"/>
        <v>0.688954915714286</v>
      </c>
    </row>
    <row r="135" ht="15.75" spans="1:9">
      <c r="A135" s="83"/>
      <c r="B135" s="83"/>
      <c r="C135" s="21"/>
      <c r="D135" s="149" t="s">
        <v>61</v>
      </c>
      <c r="E135" s="15">
        <v>20967</v>
      </c>
      <c r="F135" s="19">
        <v>1515</v>
      </c>
      <c r="G135" s="43">
        <f t="shared" si="5"/>
        <v>1.23977871</v>
      </c>
      <c r="H135" s="20">
        <v>0.0525550985714286</v>
      </c>
      <c r="I135" s="20">
        <f t="shared" si="7"/>
        <v>1.29233380857143</v>
      </c>
    </row>
    <row r="136" ht="15.75" spans="1:9">
      <c r="A136" s="84"/>
      <c r="B136" s="84"/>
      <c r="C136" s="9" t="s">
        <v>260</v>
      </c>
      <c r="D136" s="149" t="s">
        <v>282</v>
      </c>
      <c r="E136" s="15">
        <v>10457</v>
      </c>
      <c r="F136" s="19">
        <v>5434</v>
      </c>
      <c r="G136" s="43">
        <f t="shared" si="5"/>
        <v>0.61832241</v>
      </c>
      <c r="H136" s="20">
        <v>0.0693013767857143</v>
      </c>
      <c r="I136" s="20">
        <f t="shared" si="7"/>
        <v>0.687623786785714</v>
      </c>
    </row>
    <row r="137" ht="16.5" customHeight="1"/>
    <row r="138" ht="16.5" customHeight="1" spans="1:9">
      <c r="A138" s="39" t="s">
        <v>102</v>
      </c>
      <c r="B138" s="39"/>
      <c r="C138" s="39"/>
      <c r="D138" s="39"/>
      <c r="E138" s="39"/>
      <c r="F138" s="39"/>
      <c r="G138" s="39"/>
      <c r="H138" s="39"/>
      <c r="I138" s="39"/>
    </row>
    <row r="139" ht="16.5" customHeight="1" spans="1:9">
      <c r="A139" s="40" t="s">
        <v>7</v>
      </c>
      <c r="B139" s="40"/>
      <c r="C139" s="40"/>
      <c r="D139" s="40"/>
      <c r="E139" s="40"/>
      <c r="F139" s="4"/>
      <c r="G139" s="8" t="s">
        <v>8</v>
      </c>
      <c r="H139" s="8"/>
      <c r="I139" s="8"/>
    </row>
    <row r="140" ht="16.5" customHeight="1" spans="1:9">
      <c r="A140" s="35" t="s">
        <v>103</v>
      </c>
      <c r="B140" s="10" t="s">
        <v>104</v>
      </c>
      <c r="C140" s="9" t="s">
        <v>11</v>
      </c>
      <c r="D140" s="9" t="s">
        <v>12</v>
      </c>
      <c r="E140" s="10" t="s">
        <v>13</v>
      </c>
      <c r="F140" s="10" t="s">
        <v>84</v>
      </c>
      <c r="G140" s="10" t="s">
        <v>15</v>
      </c>
      <c r="H140" s="10" t="s">
        <v>16</v>
      </c>
      <c r="I140" s="10" t="s">
        <v>17</v>
      </c>
    </row>
    <row r="141" ht="16.5" customHeight="1" spans="1:9">
      <c r="A141" s="9" t="s">
        <v>18</v>
      </c>
      <c r="B141" s="10" t="s">
        <v>19</v>
      </c>
      <c r="C141" s="9" t="s">
        <v>20</v>
      </c>
      <c r="D141" s="10" t="s">
        <v>21</v>
      </c>
      <c r="E141" s="10" t="s">
        <v>22</v>
      </c>
      <c r="F141" s="10" t="s">
        <v>23</v>
      </c>
      <c r="G141" s="10" t="s">
        <v>24</v>
      </c>
      <c r="H141" s="10" t="s">
        <v>25</v>
      </c>
      <c r="I141" s="10" t="s">
        <v>26</v>
      </c>
    </row>
    <row r="142" ht="15.75" spans="1:9">
      <c r="A142" s="70">
        <v>1</v>
      </c>
      <c r="B142" s="70">
        <v>2025</v>
      </c>
      <c r="C142" s="11" t="s">
        <v>95</v>
      </c>
      <c r="D142" s="26" t="s">
        <v>54</v>
      </c>
      <c r="E142" s="42">
        <v>45797</v>
      </c>
      <c r="F142" s="19">
        <v>18367</v>
      </c>
      <c r="G142" s="43">
        <f t="shared" ref="G142:G181" si="8">E142*(65.19*365)/POWER(10,9)</f>
        <v>1.08970984695</v>
      </c>
      <c r="H142" s="20">
        <v>0.408722465657143</v>
      </c>
      <c r="I142" s="154">
        <f t="shared" ref="I142:I181" si="9">G142+H142</f>
        <v>1.49843231260714</v>
      </c>
    </row>
    <row r="143" ht="15.75" spans="1:9">
      <c r="A143" s="83"/>
      <c r="B143" s="83"/>
      <c r="C143" s="23"/>
      <c r="D143" s="13" t="s">
        <v>51</v>
      </c>
      <c r="E143" s="42">
        <v>7809</v>
      </c>
      <c r="F143" s="19">
        <v>2474</v>
      </c>
      <c r="G143" s="43">
        <f t="shared" si="8"/>
        <v>0.18581007915</v>
      </c>
      <c r="H143" s="20">
        <v>0.0837420418330875</v>
      </c>
      <c r="I143" s="154">
        <f t="shared" si="9"/>
        <v>0.269552120983087</v>
      </c>
    </row>
    <row r="144" ht="15.75" spans="1:9">
      <c r="A144" s="83"/>
      <c r="B144" s="83"/>
      <c r="C144" s="11" t="s">
        <v>285</v>
      </c>
      <c r="D144" s="13" t="s">
        <v>279</v>
      </c>
      <c r="E144" s="42">
        <v>1599</v>
      </c>
      <c r="F144" s="19">
        <v>2787</v>
      </c>
      <c r="G144" s="43">
        <f t="shared" si="8"/>
        <v>0.03804716565</v>
      </c>
      <c r="H144" s="20">
        <v>0.0536427776390696</v>
      </c>
      <c r="I144" s="154">
        <f t="shared" si="9"/>
        <v>0.0916899432890696</v>
      </c>
    </row>
    <row r="145" ht="15.75" spans="1:9">
      <c r="A145" s="83"/>
      <c r="B145" s="83"/>
      <c r="C145" s="23"/>
      <c r="D145" s="13" t="s">
        <v>278</v>
      </c>
      <c r="E145" s="42">
        <v>29955</v>
      </c>
      <c r="F145" s="19">
        <v>67103</v>
      </c>
      <c r="G145" s="43">
        <f t="shared" si="8"/>
        <v>0.71275975425</v>
      </c>
      <c r="H145" s="20">
        <v>0.647559633951429</v>
      </c>
      <c r="I145" s="154">
        <f t="shared" si="9"/>
        <v>1.36031938820143</v>
      </c>
    </row>
    <row r="146" ht="15.75" spans="1:9">
      <c r="A146" s="83"/>
      <c r="B146" s="83"/>
      <c r="C146" s="11" t="s">
        <v>58</v>
      </c>
      <c r="D146" s="13" t="s">
        <v>59</v>
      </c>
      <c r="E146" s="42">
        <v>36894</v>
      </c>
      <c r="F146" s="19">
        <v>59974</v>
      </c>
      <c r="G146" s="43">
        <f t="shared" si="8"/>
        <v>0.8778687489</v>
      </c>
      <c r="H146" s="20">
        <v>1.06995942032432</v>
      </c>
      <c r="I146" s="154">
        <f t="shared" si="9"/>
        <v>1.94782816922432</v>
      </c>
    </row>
    <row r="147" ht="15.75" spans="1:9">
      <c r="A147" s="83"/>
      <c r="B147" s="83"/>
      <c r="C147" s="23"/>
      <c r="D147" s="13" t="s">
        <v>58</v>
      </c>
      <c r="E147" s="42">
        <v>81316</v>
      </c>
      <c r="F147" s="19">
        <v>17703</v>
      </c>
      <c r="G147" s="43">
        <f t="shared" si="8"/>
        <v>1.9348613646</v>
      </c>
      <c r="H147" s="20">
        <v>0.489476540395322</v>
      </c>
      <c r="I147" s="154">
        <f t="shared" si="9"/>
        <v>2.42433790499532</v>
      </c>
    </row>
    <row r="148" ht="15.75" spans="1:9">
      <c r="A148" s="83"/>
      <c r="B148" s="83"/>
      <c r="C148" s="11" t="s">
        <v>60</v>
      </c>
      <c r="D148" s="151" t="s">
        <v>277</v>
      </c>
      <c r="E148" s="42">
        <v>408556</v>
      </c>
      <c r="F148" s="19">
        <v>258627</v>
      </c>
      <c r="G148" s="43">
        <f t="shared" si="8"/>
        <v>9.7213244586</v>
      </c>
      <c r="H148" s="20">
        <v>3.6149957152311</v>
      </c>
      <c r="I148" s="154">
        <f t="shared" si="9"/>
        <v>13.3363201738311</v>
      </c>
    </row>
    <row r="149" ht="15.75" spans="1:9">
      <c r="A149" s="83"/>
      <c r="B149" s="83"/>
      <c r="C149" s="22"/>
      <c r="D149" s="13" t="s">
        <v>275</v>
      </c>
      <c r="E149" s="42">
        <v>108755</v>
      </c>
      <c r="F149" s="19">
        <v>250044</v>
      </c>
      <c r="G149" s="43">
        <f t="shared" si="8"/>
        <v>2.58775453425</v>
      </c>
      <c r="H149" s="20">
        <v>1.08222109098557</v>
      </c>
      <c r="I149" s="154">
        <f t="shared" si="9"/>
        <v>3.66997562523557</v>
      </c>
    </row>
    <row r="150" ht="15.75" spans="1:9">
      <c r="A150" s="83"/>
      <c r="B150" s="83"/>
      <c r="C150" s="22"/>
      <c r="D150" s="13" t="s">
        <v>61</v>
      </c>
      <c r="E150" s="42">
        <v>76150</v>
      </c>
      <c r="F150" s="19">
        <v>26591</v>
      </c>
      <c r="G150" s="43">
        <f t="shared" si="8"/>
        <v>1.8119397525</v>
      </c>
      <c r="H150" s="20">
        <v>0.842056132557196</v>
      </c>
      <c r="I150" s="154">
        <f t="shared" si="9"/>
        <v>2.6539958850572</v>
      </c>
    </row>
    <row r="151" ht="15.75" spans="1:9">
      <c r="A151" s="83"/>
      <c r="B151" s="83"/>
      <c r="C151" s="22"/>
      <c r="D151" s="151" t="s">
        <v>274</v>
      </c>
      <c r="E151" s="42">
        <v>24767</v>
      </c>
      <c r="F151" s="19">
        <v>17183</v>
      </c>
      <c r="G151" s="43">
        <f t="shared" si="8"/>
        <v>0.58931466645</v>
      </c>
      <c r="H151" s="20">
        <v>0.378897836624625</v>
      </c>
      <c r="I151" s="154">
        <f t="shared" si="9"/>
        <v>0.968212503074625</v>
      </c>
    </row>
    <row r="152" ht="15.75" spans="1:9">
      <c r="A152" s="83"/>
      <c r="B152" s="83"/>
      <c r="C152" s="22"/>
      <c r="D152" s="13" t="s">
        <v>62</v>
      </c>
      <c r="E152" s="42">
        <v>24446</v>
      </c>
      <c r="F152" s="19">
        <v>10539</v>
      </c>
      <c r="G152" s="43">
        <f t="shared" si="8"/>
        <v>0.5816766801</v>
      </c>
      <c r="H152" s="20">
        <v>0.253414817442114</v>
      </c>
      <c r="I152" s="154">
        <f t="shared" si="9"/>
        <v>0.835091497542114</v>
      </c>
    </row>
    <row r="153" ht="15.75" spans="1:9">
      <c r="A153" s="83"/>
      <c r="B153" s="83"/>
      <c r="C153" s="22"/>
      <c r="D153" s="13" t="s">
        <v>60</v>
      </c>
      <c r="E153" s="42">
        <v>45719</v>
      </c>
      <c r="F153" s="19">
        <v>12518</v>
      </c>
      <c r="G153" s="43">
        <f t="shared" si="8"/>
        <v>1.08785388765</v>
      </c>
      <c r="H153" s="20">
        <v>0.334945420870757</v>
      </c>
      <c r="I153" s="154">
        <f t="shared" si="9"/>
        <v>1.42279930852076</v>
      </c>
    </row>
    <row r="154" ht="13.95" customHeight="1" spans="1:9">
      <c r="A154" s="83"/>
      <c r="B154" s="83"/>
      <c r="C154" s="23"/>
      <c r="D154" s="13" t="s">
        <v>276</v>
      </c>
      <c r="E154" s="42">
        <v>11370</v>
      </c>
      <c r="F154" s="19">
        <v>2796</v>
      </c>
      <c r="G154" s="43">
        <f t="shared" si="8"/>
        <v>0.2705417595</v>
      </c>
      <c r="H154" s="20">
        <v>0.0898800816516857</v>
      </c>
      <c r="I154" s="154">
        <f t="shared" si="9"/>
        <v>0.360421841151686</v>
      </c>
    </row>
    <row r="155" ht="13.95" customHeight="1" spans="1:9">
      <c r="A155" s="83"/>
      <c r="B155" s="83"/>
      <c r="C155" s="11" t="s">
        <v>260</v>
      </c>
      <c r="D155" s="151" t="s">
        <v>284</v>
      </c>
      <c r="E155" s="42">
        <v>89</v>
      </c>
      <c r="F155" s="19">
        <v>225</v>
      </c>
      <c r="G155" s="43">
        <f t="shared" si="8"/>
        <v>0.00211769715</v>
      </c>
      <c r="H155" s="20">
        <v>0.00270957218807679</v>
      </c>
      <c r="I155" s="154">
        <f t="shared" si="9"/>
        <v>0.00482726933807679</v>
      </c>
    </row>
    <row r="156" ht="13.95" customHeight="1" spans="1:9">
      <c r="A156" s="83"/>
      <c r="B156" s="83"/>
      <c r="C156" s="22"/>
      <c r="D156" s="13" t="s">
        <v>280</v>
      </c>
      <c r="E156" s="42">
        <v>55156</v>
      </c>
      <c r="F156" s="19">
        <v>156115</v>
      </c>
      <c r="G156" s="43">
        <f t="shared" si="8"/>
        <v>1.3124011686</v>
      </c>
      <c r="H156" s="20">
        <v>1.97269827041486</v>
      </c>
      <c r="I156" s="154">
        <f t="shared" si="9"/>
        <v>3.28509943901486</v>
      </c>
    </row>
    <row r="157" ht="13.95" customHeight="1" spans="1:9">
      <c r="A157" s="83"/>
      <c r="B157" s="83"/>
      <c r="C157" s="22"/>
      <c r="D157" s="13" t="s">
        <v>255</v>
      </c>
      <c r="E157" s="42">
        <v>284</v>
      </c>
      <c r="F157" s="19">
        <v>679</v>
      </c>
      <c r="G157" s="43">
        <f t="shared" si="8"/>
        <v>0.0067575954</v>
      </c>
      <c r="H157" s="20">
        <v>0.013813077233475</v>
      </c>
      <c r="I157" s="154">
        <f t="shared" si="9"/>
        <v>0.020570672633475</v>
      </c>
    </row>
    <row r="158" ht="15.75" spans="1:9">
      <c r="A158" s="83"/>
      <c r="B158" s="83"/>
      <c r="C158" s="22"/>
      <c r="D158" s="13" t="s">
        <v>283</v>
      </c>
      <c r="E158" s="42">
        <v>8611</v>
      </c>
      <c r="F158" s="19">
        <v>25165</v>
      </c>
      <c r="G158" s="43">
        <f t="shared" si="8"/>
        <v>0.20489314785</v>
      </c>
      <c r="H158" s="20">
        <v>0.354457703930941</v>
      </c>
      <c r="I158" s="154">
        <f t="shared" si="9"/>
        <v>0.559350851780941</v>
      </c>
    </row>
    <row r="159" ht="15.75" spans="1:9">
      <c r="A159" s="83"/>
      <c r="B159" s="83"/>
      <c r="C159" s="22"/>
      <c r="D159" s="13" t="s">
        <v>281</v>
      </c>
      <c r="E159" s="42">
        <v>40170</v>
      </c>
      <c r="F159" s="19">
        <v>68602</v>
      </c>
      <c r="G159" s="43">
        <f t="shared" si="8"/>
        <v>0.9558190395</v>
      </c>
      <c r="H159" s="20">
        <v>1.23558241741635</v>
      </c>
      <c r="I159" s="154">
        <f t="shared" si="9"/>
        <v>2.19140145691635</v>
      </c>
    </row>
    <row r="160" ht="15.75" spans="1:9">
      <c r="A160" s="83"/>
      <c r="B160" s="83"/>
      <c r="C160" s="22"/>
      <c r="D160" s="13" t="s">
        <v>282</v>
      </c>
      <c r="E160" s="42">
        <v>37961</v>
      </c>
      <c r="F160" s="19">
        <v>34188</v>
      </c>
      <c r="G160" s="43">
        <f t="shared" si="8"/>
        <v>0.90325732035</v>
      </c>
      <c r="H160" s="20">
        <v>0.828716049385343</v>
      </c>
      <c r="I160" s="154">
        <f t="shared" si="9"/>
        <v>1.73197336973534</v>
      </c>
    </row>
    <row r="161" ht="15.75" spans="1:9">
      <c r="A161" s="84"/>
      <c r="B161" s="84"/>
      <c r="C161" s="23"/>
      <c r="D161" s="13" t="s">
        <v>254</v>
      </c>
      <c r="E161" s="42">
        <v>948</v>
      </c>
      <c r="F161" s="19">
        <v>473</v>
      </c>
      <c r="G161" s="43">
        <f t="shared" si="8"/>
        <v>0.0225570438</v>
      </c>
      <c r="H161" s="20">
        <v>0.0145308271032143</v>
      </c>
      <c r="I161" s="154">
        <f t="shared" si="9"/>
        <v>0.0370878709032143</v>
      </c>
    </row>
    <row r="162" ht="15.75" spans="1:9">
      <c r="A162" s="70">
        <v>2</v>
      </c>
      <c r="B162" s="70">
        <v>2050</v>
      </c>
      <c r="C162" s="11" t="s">
        <v>95</v>
      </c>
      <c r="D162" s="26" t="s">
        <v>54</v>
      </c>
      <c r="E162" s="42">
        <v>60354</v>
      </c>
      <c r="F162" s="19">
        <v>8912</v>
      </c>
      <c r="G162" s="43">
        <f t="shared" si="8"/>
        <v>1.4360841999</v>
      </c>
      <c r="H162" s="20">
        <v>0.0524824552285715</v>
      </c>
      <c r="I162" s="154">
        <f t="shared" si="9"/>
        <v>1.48856665512857</v>
      </c>
    </row>
    <row r="163" ht="15.75" spans="1:9">
      <c r="A163" s="83"/>
      <c r="B163" s="83"/>
      <c r="C163" s="23"/>
      <c r="D163" s="13" t="s">
        <v>51</v>
      </c>
      <c r="E163" s="42">
        <v>10291</v>
      </c>
      <c r="F163" s="19">
        <v>715</v>
      </c>
      <c r="G163" s="43">
        <f t="shared" si="8"/>
        <v>0.24486765585</v>
      </c>
      <c r="H163" s="20">
        <v>0.0287</v>
      </c>
      <c r="I163" s="154">
        <f t="shared" si="9"/>
        <v>0.27356765585</v>
      </c>
    </row>
    <row r="164" ht="15.75" spans="1:9">
      <c r="A164" s="83"/>
      <c r="B164" s="83"/>
      <c r="C164" s="11" t="s">
        <v>285</v>
      </c>
      <c r="D164" s="13" t="s">
        <v>279</v>
      </c>
      <c r="E164" s="42">
        <v>1111</v>
      </c>
      <c r="F164" s="19">
        <v>5156</v>
      </c>
      <c r="G164" s="43">
        <f t="shared" si="8"/>
        <v>0.02643552285</v>
      </c>
      <c r="H164" s="20">
        <v>0.0925676390823286</v>
      </c>
      <c r="I164" s="154">
        <f t="shared" si="9"/>
        <v>0.119003161932329</v>
      </c>
    </row>
    <row r="165" ht="15.75" spans="1:9">
      <c r="A165" s="83"/>
      <c r="B165" s="83"/>
      <c r="C165" s="23"/>
      <c r="D165" s="13" t="s">
        <v>278</v>
      </c>
      <c r="E165" s="42">
        <v>20821</v>
      </c>
      <c r="F165" s="19">
        <v>95242</v>
      </c>
      <c r="G165" s="43">
        <f t="shared" si="8"/>
        <v>0.49542216135</v>
      </c>
      <c r="H165" s="20">
        <v>0.304020569536473</v>
      </c>
      <c r="I165" s="154">
        <f t="shared" si="9"/>
        <v>0.799442730886473</v>
      </c>
    </row>
    <row r="166" ht="15.75" spans="1:9">
      <c r="A166" s="83"/>
      <c r="B166" s="83"/>
      <c r="C166" s="11" t="s">
        <v>58</v>
      </c>
      <c r="D166" s="13" t="s">
        <v>59</v>
      </c>
      <c r="E166" s="42">
        <v>41873</v>
      </c>
      <c r="F166" s="19">
        <v>106740</v>
      </c>
      <c r="G166" s="43">
        <f t="shared" si="8"/>
        <v>0.99634081755</v>
      </c>
      <c r="H166" s="20">
        <v>1.41576178123334</v>
      </c>
      <c r="I166" s="154">
        <f t="shared" si="9"/>
        <v>2.41210259878334</v>
      </c>
    </row>
    <row r="167" ht="15.75" spans="1:9">
      <c r="A167" s="83"/>
      <c r="B167" s="83"/>
      <c r="C167" s="23"/>
      <c r="D167" s="13" t="s">
        <v>58</v>
      </c>
      <c r="E167" s="42">
        <v>92289</v>
      </c>
      <c r="F167" s="19">
        <v>4584</v>
      </c>
      <c r="G167" s="43">
        <f t="shared" si="8"/>
        <v>2.19595676715</v>
      </c>
      <c r="H167" s="20">
        <v>0.0301185563167286</v>
      </c>
      <c r="I167" s="154">
        <f t="shared" si="9"/>
        <v>2.22607532346673</v>
      </c>
    </row>
    <row r="168" ht="15.75" spans="1:9">
      <c r="A168" s="83"/>
      <c r="B168" s="83"/>
      <c r="C168" s="11" t="s">
        <v>60</v>
      </c>
      <c r="D168" s="151" t="s">
        <v>277</v>
      </c>
      <c r="E168" s="42">
        <v>614269</v>
      </c>
      <c r="F168" s="19">
        <v>311117</v>
      </c>
      <c r="G168" s="43">
        <f t="shared" si="8"/>
        <v>14.61613158015</v>
      </c>
      <c r="H168" s="20">
        <v>2.4435827598267</v>
      </c>
      <c r="I168" s="154">
        <f t="shared" si="9"/>
        <v>17.0597143399767</v>
      </c>
    </row>
    <row r="169" ht="15.75" spans="1:9">
      <c r="A169" s="83"/>
      <c r="B169" s="83"/>
      <c r="C169" s="22"/>
      <c r="D169" s="13" t="s">
        <v>275</v>
      </c>
      <c r="E169" s="42">
        <v>163514</v>
      </c>
      <c r="F169" s="19">
        <v>624426</v>
      </c>
      <c r="G169" s="43">
        <f t="shared" si="8"/>
        <v>3.8907093459</v>
      </c>
      <c r="H169" s="20">
        <v>1.10450427731914</v>
      </c>
      <c r="I169" s="154">
        <f t="shared" si="9"/>
        <v>4.99521362321914</v>
      </c>
    </row>
    <row r="170" ht="15.75" spans="1:9">
      <c r="A170" s="83"/>
      <c r="B170" s="83"/>
      <c r="C170" s="22"/>
      <c r="D170" s="13" t="s">
        <v>61</v>
      </c>
      <c r="E170" s="42">
        <v>114493</v>
      </c>
      <c r="F170" s="19">
        <v>13173</v>
      </c>
      <c r="G170" s="43">
        <f t="shared" si="8"/>
        <v>2.72428651455</v>
      </c>
      <c r="H170" s="20">
        <v>0.528</v>
      </c>
      <c r="I170" s="154">
        <f t="shared" si="9"/>
        <v>3.25228651455</v>
      </c>
    </row>
    <row r="171" ht="15.75" spans="1:9">
      <c r="A171" s="83"/>
      <c r="B171" s="83"/>
      <c r="C171" s="22"/>
      <c r="D171" s="151" t="s">
        <v>274</v>
      </c>
      <c r="E171" s="42">
        <v>37238</v>
      </c>
      <c r="F171" s="19">
        <v>21730</v>
      </c>
      <c r="G171" s="43">
        <f t="shared" si="8"/>
        <v>0.8860540053</v>
      </c>
      <c r="H171" s="20">
        <v>0.4259486273044</v>
      </c>
      <c r="I171" s="154">
        <f t="shared" si="9"/>
        <v>1.3120026326044</v>
      </c>
    </row>
    <row r="172" ht="15.75" spans="1:9">
      <c r="A172" s="83"/>
      <c r="B172" s="83"/>
      <c r="C172" s="22"/>
      <c r="D172" s="13" t="s">
        <v>62</v>
      </c>
      <c r="E172" s="42">
        <v>36755</v>
      </c>
      <c r="F172" s="19">
        <v>5166</v>
      </c>
      <c r="G172" s="43">
        <f t="shared" si="8"/>
        <v>0.87456133425</v>
      </c>
      <c r="H172" s="20">
        <v>0.0340454893816143</v>
      </c>
      <c r="I172" s="154">
        <f t="shared" si="9"/>
        <v>0.908606823631614</v>
      </c>
    </row>
    <row r="173" ht="15.75" spans="1:9">
      <c r="A173" s="83"/>
      <c r="B173" s="83"/>
      <c r="C173" s="22"/>
      <c r="D173" s="13" t="s">
        <v>60</v>
      </c>
      <c r="E173" s="42">
        <v>68740</v>
      </c>
      <c r="F173" s="19">
        <v>3804</v>
      </c>
      <c r="G173" s="43">
        <f t="shared" si="8"/>
        <v>1.635623619</v>
      </c>
      <c r="H173" s="20">
        <v>0.0266444176174714</v>
      </c>
      <c r="I173" s="154">
        <f t="shared" si="9"/>
        <v>1.66226803661747</v>
      </c>
    </row>
    <row r="174" ht="15.75" spans="1:9">
      <c r="A174" s="83"/>
      <c r="B174" s="83"/>
      <c r="C174" s="23"/>
      <c r="D174" s="13" t="s">
        <v>276</v>
      </c>
      <c r="E174" s="42">
        <v>17095</v>
      </c>
      <c r="F174" s="19">
        <v>923</v>
      </c>
      <c r="G174" s="43">
        <f t="shared" si="8"/>
        <v>0.40676441325</v>
      </c>
      <c r="H174" s="20">
        <v>0.0370270383815714</v>
      </c>
      <c r="I174" s="154">
        <f t="shared" si="9"/>
        <v>0.443791451631571</v>
      </c>
    </row>
    <row r="175" ht="15.75" spans="1:9">
      <c r="A175" s="83"/>
      <c r="B175" s="83"/>
      <c r="C175" s="11" t="s">
        <v>260</v>
      </c>
      <c r="D175" s="151" t="s">
        <v>284</v>
      </c>
      <c r="E175" s="42">
        <v>97</v>
      </c>
      <c r="F175" s="19">
        <v>413</v>
      </c>
      <c r="G175" s="43">
        <f t="shared" si="8"/>
        <v>0.00230805195</v>
      </c>
      <c r="H175" s="20">
        <v>0.00291723100519286</v>
      </c>
      <c r="I175" s="154">
        <f t="shared" si="9"/>
        <v>0.00522528295519286</v>
      </c>
    </row>
    <row r="176" ht="15.75" spans="1:9">
      <c r="A176" s="83"/>
      <c r="B176" s="83"/>
      <c r="C176" s="22"/>
      <c r="D176" s="13" t="s">
        <v>280</v>
      </c>
      <c r="E176" s="42">
        <v>60292</v>
      </c>
      <c r="F176" s="19">
        <v>318095</v>
      </c>
      <c r="G176" s="43">
        <f t="shared" si="8"/>
        <v>1.4346089502</v>
      </c>
      <c r="H176" s="20">
        <v>3.08576607017111</v>
      </c>
      <c r="I176" s="154">
        <f t="shared" si="9"/>
        <v>4.52037502037111</v>
      </c>
    </row>
    <row r="177" ht="15.75" spans="1:9">
      <c r="A177" s="83"/>
      <c r="B177" s="83"/>
      <c r="C177" s="22"/>
      <c r="D177" s="13" t="s">
        <v>255</v>
      </c>
      <c r="E177" s="42">
        <v>311</v>
      </c>
      <c r="F177" s="19">
        <v>1292</v>
      </c>
      <c r="G177" s="43">
        <f t="shared" si="8"/>
        <v>0.00740004285</v>
      </c>
      <c r="H177" s="20">
        <v>0.02455043986785</v>
      </c>
      <c r="I177" s="154">
        <f t="shared" si="9"/>
        <v>0.03195048271785</v>
      </c>
    </row>
    <row r="178" ht="15.75" spans="1:9">
      <c r="A178" s="83"/>
      <c r="B178" s="83"/>
      <c r="C178" s="22"/>
      <c r="D178" s="13" t="s">
        <v>283</v>
      </c>
      <c r="E178" s="42">
        <v>9413</v>
      </c>
      <c r="F178" s="19">
        <v>46982</v>
      </c>
      <c r="G178" s="43">
        <f t="shared" si="8"/>
        <v>0.22397621655</v>
      </c>
      <c r="H178" s="20">
        <v>0.569362665968352</v>
      </c>
      <c r="I178" s="154">
        <f t="shared" si="9"/>
        <v>0.793338882518352</v>
      </c>
    </row>
    <row r="179" ht="15.75" spans="1:9">
      <c r="A179" s="83"/>
      <c r="B179" s="83"/>
      <c r="C179" s="22"/>
      <c r="D179" s="13" t="s">
        <v>281</v>
      </c>
      <c r="E179" s="42">
        <v>43910</v>
      </c>
      <c r="F179" s="19">
        <v>119134</v>
      </c>
      <c r="G179" s="43">
        <f t="shared" si="8"/>
        <v>1.0448099085</v>
      </c>
      <c r="H179" s="20">
        <v>2.08050222266385</v>
      </c>
      <c r="I179" s="154">
        <f t="shared" si="9"/>
        <v>3.12531213116385</v>
      </c>
    </row>
    <row r="180" ht="15.75" spans="1:9">
      <c r="A180" s="83"/>
      <c r="B180" s="83"/>
      <c r="C180" s="22"/>
      <c r="D180" s="13" t="s">
        <v>282</v>
      </c>
      <c r="E180" s="42">
        <v>41495</v>
      </c>
      <c r="F180" s="19">
        <v>20069</v>
      </c>
      <c r="G180" s="43">
        <f t="shared" si="8"/>
        <v>0.98734655325</v>
      </c>
      <c r="H180" s="20">
        <v>0.394519445192629</v>
      </c>
      <c r="I180" s="154">
        <f t="shared" si="9"/>
        <v>1.38186599844263</v>
      </c>
    </row>
    <row r="181" ht="15.75" spans="1:9">
      <c r="A181" s="84"/>
      <c r="B181" s="84"/>
      <c r="C181" s="23"/>
      <c r="D181" s="13" t="s">
        <v>254</v>
      </c>
      <c r="E181" s="42">
        <v>1036</v>
      </c>
      <c r="F181" s="19">
        <v>495</v>
      </c>
      <c r="G181" s="43">
        <f t="shared" si="8"/>
        <v>0.0246509466</v>
      </c>
      <c r="H181" s="20">
        <v>0.019696372433</v>
      </c>
      <c r="I181" s="154">
        <f t="shared" si="9"/>
        <v>0.044347319033</v>
      </c>
    </row>
    <row r="183" ht="15.75" spans="1:9">
      <c r="A183" s="6" t="s">
        <v>105</v>
      </c>
      <c r="B183" s="6"/>
      <c r="C183" s="6"/>
      <c r="D183" s="6"/>
      <c r="E183" s="6"/>
      <c r="G183" s="8" t="s">
        <v>8</v>
      </c>
      <c r="H183" s="8"/>
      <c r="I183" s="8"/>
    </row>
    <row r="184" ht="63" spans="1:9">
      <c r="A184" s="63" t="s">
        <v>103</v>
      </c>
      <c r="B184" s="63" t="s">
        <v>104</v>
      </c>
      <c r="C184" s="63" t="s">
        <v>11</v>
      </c>
      <c r="D184" s="63" t="s">
        <v>106</v>
      </c>
      <c r="E184" s="63" t="s">
        <v>13</v>
      </c>
      <c r="F184" s="63" t="s">
        <v>84</v>
      </c>
      <c r="G184" s="63" t="s">
        <v>15</v>
      </c>
      <c r="H184" s="63" t="s">
        <v>16</v>
      </c>
      <c r="I184" s="63" t="s">
        <v>17</v>
      </c>
    </row>
    <row r="185" ht="15.75" spans="1:9">
      <c r="A185" s="9" t="s">
        <v>18</v>
      </c>
      <c r="B185" s="11" t="s">
        <v>19</v>
      </c>
      <c r="C185" s="12" t="s">
        <v>20</v>
      </c>
      <c r="D185" s="11" t="s">
        <v>21</v>
      </c>
      <c r="E185" s="11" t="s">
        <v>22</v>
      </c>
      <c r="F185" s="11" t="s">
        <v>23</v>
      </c>
      <c r="G185" s="11" t="s">
        <v>24</v>
      </c>
      <c r="H185" s="11" t="s">
        <v>25</v>
      </c>
      <c r="I185" s="11" t="s">
        <v>26</v>
      </c>
    </row>
    <row r="186" ht="15.75" spans="1:9">
      <c r="A186" s="70">
        <v>1</v>
      </c>
      <c r="B186" s="71">
        <v>2025</v>
      </c>
      <c r="C186" s="10" t="s">
        <v>95</v>
      </c>
      <c r="D186" s="13" t="s">
        <v>286</v>
      </c>
      <c r="E186" s="71">
        <v>8937</v>
      </c>
      <c r="F186" s="19">
        <v>1729</v>
      </c>
      <c r="G186" s="43">
        <f t="shared" ref="G186:G197" si="10">E186*162*365/POWER(10,9)</f>
        <v>0.52844481</v>
      </c>
      <c r="H186" s="20">
        <v>0.0602040385714286</v>
      </c>
      <c r="I186" s="20">
        <f t="shared" ref="I186:I197" si="11">G186+H186</f>
        <v>0.588648848571429</v>
      </c>
    </row>
    <row r="187" ht="15.75" spans="1:9">
      <c r="A187" s="83"/>
      <c r="B187" s="71"/>
      <c r="C187" s="10"/>
      <c r="D187" s="13" t="s">
        <v>287</v>
      </c>
      <c r="E187" s="71">
        <v>8966</v>
      </c>
      <c r="F187" s="19">
        <v>4789</v>
      </c>
      <c r="G187" s="43">
        <f t="shared" si="10"/>
        <v>0.53015958</v>
      </c>
      <c r="H187" s="20">
        <v>0.0744566367857143</v>
      </c>
      <c r="I187" s="20">
        <f t="shared" si="11"/>
        <v>0.604616216785714</v>
      </c>
    </row>
    <row r="188" ht="15.75" spans="1:9">
      <c r="A188" s="83"/>
      <c r="B188" s="71"/>
      <c r="C188" s="9" t="s">
        <v>60</v>
      </c>
      <c r="D188" s="149" t="s">
        <v>277</v>
      </c>
      <c r="E188" s="71">
        <v>17175</v>
      </c>
      <c r="F188" s="19">
        <v>3533</v>
      </c>
      <c r="G188" s="43">
        <f t="shared" si="10"/>
        <v>1.01555775</v>
      </c>
      <c r="H188" s="20">
        <v>0.0941486214285714</v>
      </c>
      <c r="I188" s="20">
        <f t="shared" si="11"/>
        <v>1.10970637142857</v>
      </c>
    </row>
    <row r="189" ht="15.75" spans="1:9">
      <c r="A189" s="83"/>
      <c r="B189" s="71"/>
      <c r="C189" s="9"/>
      <c r="D189" s="149" t="s">
        <v>275</v>
      </c>
      <c r="E189" s="71">
        <v>11631</v>
      </c>
      <c r="F189" s="19">
        <v>766</v>
      </c>
      <c r="G189" s="43">
        <f t="shared" si="10"/>
        <v>0.68774103</v>
      </c>
      <c r="H189" s="20">
        <v>0.0307549</v>
      </c>
      <c r="I189" s="20">
        <f t="shared" si="11"/>
        <v>0.71849593</v>
      </c>
    </row>
    <row r="190" ht="15.75" spans="1:9">
      <c r="A190" s="83"/>
      <c r="B190" s="71"/>
      <c r="C190" s="9"/>
      <c r="D190" s="149" t="s">
        <v>61</v>
      </c>
      <c r="E190" s="71">
        <v>21729</v>
      </c>
      <c r="F190" s="19">
        <v>1677</v>
      </c>
      <c r="G190" s="43">
        <f t="shared" si="10"/>
        <v>1.28483577</v>
      </c>
      <c r="H190" s="20">
        <v>0.0595252428571429</v>
      </c>
      <c r="I190" s="20">
        <f t="shared" si="11"/>
        <v>1.34436101285714</v>
      </c>
    </row>
    <row r="191" ht="15.75" spans="1:9">
      <c r="A191" s="84"/>
      <c r="B191" s="71"/>
      <c r="C191" s="9" t="s">
        <v>260</v>
      </c>
      <c r="D191" s="149" t="s">
        <v>282</v>
      </c>
      <c r="E191" s="71">
        <v>10895</v>
      </c>
      <c r="F191" s="19">
        <v>6459</v>
      </c>
      <c r="G191" s="43">
        <f t="shared" si="10"/>
        <v>0.64422135</v>
      </c>
      <c r="H191" s="20">
        <v>0.0671881310714286</v>
      </c>
      <c r="I191" s="20">
        <f t="shared" si="11"/>
        <v>0.711409481071429</v>
      </c>
    </row>
    <row r="192" ht="15.75" spans="1:9">
      <c r="A192" s="70">
        <v>2</v>
      </c>
      <c r="B192" s="71">
        <v>2050</v>
      </c>
      <c r="C192" s="10" t="s">
        <v>95</v>
      </c>
      <c r="D192" s="13" t="s">
        <v>286</v>
      </c>
      <c r="E192" s="71">
        <v>11909</v>
      </c>
      <c r="F192" s="19">
        <v>438</v>
      </c>
      <c r="G192" s="43">
        <f t="shared" si="10"/>
        <v>0.70417917</v>
      </c>
      <c r="H192" s="20">
        <v>0.00288235285714286</v>
      </c>
      <c r="I192" s="20">
        <f t="shared" si="11"/>
        <v>0.707061522857143</v>
      </c>
    </row>
    <row r="193" ht="15.75" spans="1:9">
      <c r="A193" s="83"/>
      <c r="B193" s="71"/>
      <c r="C193" s="10"/>
      <c r="D193" s="13" t="s">
        <v>287</v>
      </c>
      <c r="E193" s="71">
        <v>11249</v>
      </c>
      <c r="F193" s="19">
        <v>9863</v>
      </c>
      <c r="G193" s="43">
        <f t="shared" si="10"/>
        <v>0.66515337</v>
      </c>
      <c r="H193" s="20">
        <v>0.147312370535714</v>
      </c>
      <c r="I193" s="20">
        <f t="shared" si="11"/>
        <v>0.812465740535714</v>
      </c>
    </row>
    <row r="194" ht="15.75" spans="1:9">
      <c r="A194" s="83"/>
      <c r="B194" s="71"/>
      <c r="C194" s="9" t="s">
        <v>60</v>
      </c>
      <c r="D194" s="149" t="s">
        <v>277</v>
      </c>
      <c r="E194" s="71">
        <v>22213</v>
      </c>
      <c r="F194" s="19">
        <v>2239</v>
      </c>
      <c r="G194" s="43">
        <f t="shared" si="10"/>
        <v>1.31345469</v>
      </c>
      <c r="H194" s="20">
        <v>0.0620468714285714</v>
      </c>
      <c r="I194" s="20">
        <f t="shared" si="11"/>
        <v>1.37550156142857</v>
      </c>
    </row>
    <row r="195" ht="15.75" spans="1:9">
      <c r="A195" s="83"/>
      <c r="B195" s="71"/>
      <c r="C195" s="9"/>
      <c r="D195" s="149" t="s">
        <v>275</v>
      </c>
      <c r="E195" s="71">
        <v>16926</v>
      </c>
      <c r="F195" s="19">
        <v>766</v>
      </c>
      <c r="G195" s="43">
        <f t="shared" si="10"/>
        <v>1.00083438</v>
      </c>
      <c r="H195" s="20">
        <v>0.0307549</v>
      </c>
      <c r="I195" s="20">
        <f t="shared" si="11"/>
        <v>1.03158928</v>
      </c>
    </row>
    <row r="196" ht="15.75" spans="1:9">
      <c r="A196" s="83"/>
      <c r="B196" s="71"/>
      <c r="C196" s="9"/>
      <c r="D196" s="149" t="s">
        <v>61</v>
      </c>
      <c r="E196" s="71">
        <v>25876</v>
      </c>
      <c r="F196" s="19">
        <v>3303</v>
      </c>
      <c r="G196" s="43">
        <f t="shared" si="10"/>
        <v>1.53004788</v>
      </c>
      <c r="H196" s="20">
        <v>0.113172421428571</v>
      </c>
      <c r="I196" s="20">
        <f t="shared" si="11"/>
        <v>1.64322030142857</v>
      </c>
    </row>
    <row r="197" ht="15.75" spans="1:9">
      <c r="A197" s="84"/>
      <c r="B197" s="71"/>
      <c r="C197" s="9" t="s">
        <v>260</v>
      </c>
      <c r="D197" s="149" t="s">
        <v>282</v>
      </c>
      <c r="E197" s="15">
        <v>13635</v>
      </c>
      <c r="F197" s="19">
        <v>13099</v>
      </c>
      <c r="G197" s="43">
        <f t="shared" si="10"/>
        <v>0.80623755</v>
      </c>
      <c r="H197" s="20">
        <v>0.0632002453571429</v>
      </c>
      <c r="I197" s="20">
        <f t="shared" si="11"/>
        <v>0.869437795357143</v>
      </c>
    </row>
    <row r="199" ht="31.95" customHeight="1" spans="1:9">
      <c r="A199" s="45" t="s">
        <v>108</v>
      </c>
      <c r="B199" s="7" t="s">
        <v>109</v>
      </c>
      <c r="C199" s="46"/>
      <c r="D199" s="46"/>
      <c r="E199" s="46"/>
      <c r="F199" s="46"/>
      <c r="G199" s="46"/>
      <c r="H199" s="46"/>
      <c r="I199" s="46"/>
    </row>
    <row r="200" ht="30" customHeight="1" spans="1:9">
      <c r="A200" s="46"/>
      <c r="B200" s="7" t="s">
        <v>110</v>
      </c>
      <c r="C200" s="47"/>
      <c r="D200" s="47"/>
      <c r="E200" s="47"/>
      <c r="F200" s="47"/>
      <c r="G200" s="47"/>
      <c r="H200" s="47"/>
      <c r="I200" s="47"/>
    </row>
    <row r="202" spans="2:2">
      <c r="B202" s="48" t="s">
        <v>111</v>
      </c>
    </row>
    <row r="203" s="2" customFormat="1" ht="15" customHeight="1" spans="2:2">
      <c r="B203" s="49" t="s">
        <v>112</v>
      </c>
    </row>
    <row r="204" s="2" customFormat="1" ht="15" customHeight="1" spans="2:2">
      <c r="B204" s="50" t="s">
        <v>113</v>
      </c>
    </row>
    <row r="205" s="2" customFormat="1" ht="15" customHeight="1" spans="2:2">
      <c r="B205" s="50" t="s">
        <v>114</v>
      </c>
    </row>
    <row r="206" s="2" customFormat="1" spans="2:2">
      <c r="B206" s="51"/>
    </row>
    <row r="207" s="2" customFormat="1" spans="2:2">
      <c r="B207" s="49" t="s">
        <v>115</v>
      </c>
    </row>
    <row r="208" s="2" customFormat="1" ht="16.5" customHeight="1" spans="2:2">
      <c r="B208" s="50" t="s">
        <v>116</v>
      </c>
    </row>
    <row r="209" s="2" customFormat="1" ht="16.5" customHeight="1" spans="2:2">
      <c r="B209" s="50" t="s">
        <v>117</v>
      </c>
    </row>
    <row r="210" spans="2:2">
      <c r="B210" s="55"/>
    </row>
    <row r="211" spans="2:2">
      <c r="B211" s="49" t="s">
        <v>118</v>
      </c>
    </row>
    <row r="212" spans="2:2">
      <c r="B212" s="56" t="s">
        <v>119</v>
      </c>
    </row>
    <row r="213" spans="2:2">
      <c r="B213" s="56" t="s">
        <v>120</v>
      </c>
    </row>
    <row r="214" spans="2:2">
      <c r="B214" s="56" t="s">
        <v>121</v>
      </c>
    </row>
    <row r="215" spans="2:2">
      <c r="B215" s="56" t="s">
        <v>122</v>
      </c>
    </row>
    <row r="216" spans="2:2">
      <c r="B216" s="49" t="s">
        <v>123</v>
      </c>
    </row>
    <row r="217" spans="2:2">
      <c r="B217" s="49" t="s">
        <v>124</v>
      </c>
    </row>
    <row r="218" spans="2:2">
      <c r="B218" s="56" t="s">
        <v>125</v>
      </c>
    </row>
    <row r="219" spans="2:2">
      <c r="B219" s="56" t="s">
        <v>126</v>
      </c>
    </row>
    <row r="220" spans="2:2">
      <c r="B220" s="56" t="s">
        <v>127</v>
      </c>
    </row>
    <row r="221" spans="2:2">
      <c r="B221" s="56" t="s">
        <v>128</v>
      </c>
    </row>
    <row r="222" spans="2:2">
      <c r="B222" s="56" t="s">
        <v>129</v>
      </c>
    </row>
    <row r="223" spans="2:2">
      <c r="B223" s="56"/>
    </row>
    <row r="224" spans="2:2">
      <c r="B224" s="49" t="s">
        <v>130</v>
      </c>
    </row>
    <row r="225" ht="15.75" spans="2:2">
      <c r="B225" s="57"/>
    </row>
    <row r="226" spans="2:2">
      <c r="B226" s="155" t="s">
        <v>131</v>
      </c>
    </row>
    <row r="227" spans="2:2">
      <c r="B227" s="155" t="s">
        <v>132</v>
      </c>
    </row>
    <row r="228" spans="2:2">
      <c r="B228" s="156" t="s">
        <v>133</v>
      </c>
    </row>
    <row r="230" ht="33.6" customHeight="1" spans="2:9">
      <c r="B230" s="157" t="s">
        <v>288</v>
      </c>
      <c r="C230" s="158"/>
      <c r="D230" s="158"/>
      <c r="E230" s="158"/>
      <c r="F230" s="158"/>
      <c r="G230" s="158"/>
      <c r="H230" s="158"/>
      <c r="I230" s="158"/>
    </row>
    <row r="231" ht="40.2" customHeight="1" spans="2:9">
      <c r="B231" s="157" t="s">
        <v>289</v>
      </c>
      <c r="C231" s="158"/>
      <c r="D231" s="158"/>
      <c r="E231" s="158"/>
      <c r="F231" s="158"/>
      <c r="G231" s="158"/>
      <c r="H231" s="158"/>
      <c r="I231" s="158"/>
    </row>
    <row r="232" ht="24.6" customHeight="1" spans="2:9">
      <c r="B232" s="112" t="s">
        <v>134</v>
      </c>
      <c r="C232" s="112"/>
      <c r="D232" s="112"/>
      <c r="E232" s="112"/>
      <c r="F232" s="112"/>
      <c r="G232" s="112"/>
      <c r="H232" s="112"/>
      <c r="I232" s="112"/>
    </row>
  </sheetData>
  <mergeCells count="89">
    <mergeCell ref="A2:I2"/>
    <mergeCell ref="A3:I3"/>
    <mergeCell ref="A4:I4"/>
    <mergeCell ref="A5:I5"/>
    <mergeCell ref="A6:I6"/>
    <mergeCell ref="A7:E7"/>
    <mergeCell ref="G7:I7"/>
    <mergeCell ref="A111:D111"/>
    <mergeCell ref="G111:I111"/>
    <mergeCell ref="A138:I138"/>
    <mergeCell ref="G139:I139"/>
    <mergeCell ref="A183:E183"/>
    <mergeCell ref="G183:I183"/>
    <mergeCell ref="B199:I199"/>
    <mergeCell ref="B200:I200"/>
    <mergeCell ref="B230:I230"/>
    <mergeCell ref="B231:I231"/>
    <mergeCell ref="B232:I232"/>
    <mergeCell ref="A10:A29"/>
    <mergeCell ref="A30:A49"/>
    <mergeCell ref="A50:A69"/>
    <mergeCell ref="A70:A89"/>
    <mergeCell ref="A90:A109"/>
    <mergeCell ref="A114:A115"/>
    <mergeCell ref="A116:A118"/>
    <mergeCell ref="A119:A124"/>
    <mergeCell ref="A125:A130"/>
    <mergeCell ref="A131:A136"/>
    <mergeCell ref="A142:A161"/>
    <mergeCell ref="A162:A181"/>
    <mergeCell ref="A186:A191"/>
    <mergeCell ref="A192:A197"/>
    <mergeCell ref="B10:B29"/>
    <mergeCell ref="B30:B49"/>
    <mergeCell ref="B50:B69"/>
    <mergeCell ref="B70:B89"/>
    <mergeCell ref="B90:B109"/>
    <mergeCell ref="B114:B115"/>
    <mergeCell ref="B116:B118"/>
    <mergeCell ref="B119:B124"/>
    <mergeCell ref="B125:B130"/>
    <mergeCell ref="B131:B136"/>
    <mergeCell ref="B142:B161"/>
    <mergeCell ref="B162:B181"/>
    <mergeCell ref="B186:B191"/>
    <mergeCell ref="B192:B197"/>
    <mergeCell ref="C10:C18"/>
    <mergeCell ref="C19:C22"/>
    <mergeCell ref="C23:C29"/>
    <mergeCell ref="C30:C38"/>
    <mergeCell ref="C39:C42"/>
    <mergeCell ref="C43:C49"/>
    <mergeCell ref="C50:C51"/>
    <mergeCell ref="C52:C53"/>
    <mergeCell ref="C54:C55"/>
    <mergeCell ref="C56:C62"/>
    <mergeCell ref="C63:C69"/>
    <mergeCell ref="C70:C71"/>
    <mergeCell ref="C72:C73"/>
    <mergeCell ref="C74:C75"/>
    <mergeCell ref="C76:C82"/>
    <mergeCell ref="C83:C89"/>
    <mergeCell ref="C90:C91"/>
    <mergeCell ref="C92:C93"/>
    <mergeCell ref="C94:C95"/>
    <mergeCell ref="C96:C102"/>
    <mergeCell ref="C103:C109"/>
    <mergeCell ref="C114:C115"/>
    <mergeCell ref="C116:C118"/>
    <mergeCell ref="C119:C120"/>
    <mergeCell ref="C121:C123"/>
    <mergeCell ref="C125:C126"/>
    <mergeCell ref="C127:C129"/>
    <mergeCell ref="C131:C132"/>
    <mergeCell ref="C133:C135"/>
    <mergeCell ref="C142:C143"/>
    <mergeCell ref="C144:C145"/>
    <mergeCell ref="C146:C147"/>
    <mergeCell ref="C148:C154"/>
    <mergeCell ref="C155:C161"/>
    <mergeCell ref="C162:C163"/>
    <mergeCell ref="C164:C165"/>
    <mergeCell ref="C166:C167"/>
    <mergeCell ref="C168:C174"/>
    <mergeCell ref="C175:C181"/>
    <mergeCell ref="C186:C187"/>
    <mergeCell ref="C188:C190"/>
    <mergeCell ref="C192:C193"/>
    <mergeCell ref="C194:C196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5" manualBreakCount="5">
    <brk id="28" max="8" man="1"/>
    <brk id="53" max="8" man="1"/>
    <brk id="78" max="8" man="1"/>
    <brk id="103" max="8" man="1"/>
    <brk id="122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173"/>
  <sheetViews>
    <sheetView view="pageBreakPreview" zoomScale="115" zoomScaleNormal="80" topLeftCell="A157" workbookViewId="0">
      <selection activeCell="O8" sqref="O8"/>
    </sheetView>
  </sheetViews>
  <sheetFormatPr defaultColWidth="9" defaultRowHeight="14.25"/>
  <cols>
    <col min="1" max="1" width="7" customWidth="1"/>
    <col min="2" max="2" width="16.7" customWidth="1"/>
    <col min="3" max="3" width="13.6" customWidth="1"/>
    <col min="4" max="4" width="24.5" customWidth="1"/>
    <col min="5" max="5" width="12.6" customWidth="1"/>
    <col min="6" max="6" width="11.6" customWidth="1"/>
    <col min="7" max="7" width="16.5" customWidth="1"/>
    <col min="8" max="8" width="11.7" customWidth="1"/>
    <col min="9" max="9" width="13" customWidth="1"/>
    <col min="10" max="10" width="14.6" customWidth="1"/>
    <col min="11" max="13" width="8"/>
    <col min="14" max="14" width="8.2" customWidth="1"/>
    <col min="15" max="23" width="8"/>
    <col min="24" max="24" width="13.7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ht="15.75" spans="1:9">
      <c r="A3" s="7" t="s">
        <v>290</v>
      </c>
      <c r="B3" s="7"/>
      <c r="C3" s="7"/>
      <c r="D3" s="7"/>
      <c r="E3" s="7"/>
      <c r="F3" s="7"/>
      <c r="G3" s="7"/>
      <c r="H3" s="7"/>
      <c r="I3" s="7"/>
    </row>
    <row r="4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ht="15.75" spans="1:9">
      <c r="A5" s="5" t="s">
        <v>291</v>
      </c>
      <c r="B5" s="5"/>
      <c r="C5" s="5"/>
      <c r="D5" s="5"/>
      <c r="E5" s="5"/>
      <c r="F5" s="5"/>
      <c r="G5" s="5"/>
      <c r="H5" s="5"/>
      <c r="I5" s="5"/>
    </row>
    <row r="6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spans="1:9">
      <c r="A7" s="7" t="s">
        <v>7</v>
      </c>
      <c r="B7" s="7"/>
      <c r="C7" s="7"/>
      <c r="D7" s="7"/>
      <c r="E7" s="7"/>
      <c r="G7" s="144" t="s">
        <v>8</v>
      </c>
      <c r="H7" s="144"/>
      <c r="I7" s="144"/>
    </row>
    <row r="8" s="1" customFormat="1" ht="33" customHeight="1" spans="1:9">
      <c r="A8" s="41" t="s">
        <v>103</v>
      </c>
      <c r="B8" s="35" t="s">
        <v>10</v>
      </c>
      <c r="C8" s="41" t="s">
        <v>11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35" t="s">
        <v>17</v>
      </c>
    </row>
    <row r="9" ht="15.75" spans="1:9">
      <c r="A9" s="9" t="s">
        <v>18</v>
      </c>
      <c r="B9" s="10" t="s">
        <v>19</v>
      </c>
      <c r="C9" s="9" t="s">
        <v>20</v>
      </c>
      <c r="D9" s="10" t="s">
        <v>21</v>
      </c>
      <c r="E9" s="10" t="s">
        <v>22</v>
      </c>
      <c r="F9" s="10" t="s">
        <v>23</v>
      </c>
      <c r="G9" s="10" t="s">
        <v>24</v>
      </c>
      <c r="H9" s="10" t="s">
        <v>25</v>
      </c>
      <c r="I9" s="10" t="s">
        <v>26</v>
      </c>
    </row>
    <row r="10" ht="15.75" spans="1:9">
      <c r="A10" s="71">
        <v>1</v>
      </c>
      <c r="B10" s="71">
        <v>1981</v>
      </c>
      <c r="C10" s="10" t="s">
        <v>245</v>
      </c>
      <c r="D10" s="13" t="s">
        <v>280</v>
      </c>
      <c r="E10" s="14">
        <v>257</v>
      </c>
      <c r="F10" s="9" t="s">
        <v>29</v>
      </c>
      <c r="G10" s="16">
        <f>E10*(65.19*365)/POWER(10,9)</f>
        <v>0.00611514795</v>
      </c>
      <c r="H10" s="9" t="s">
        <v>29</v>
      </c>
      <c r="I10" s="16">
        <f>G10</f>
        <v>0.00611514795</v>
      </c>
    </row>
    <row r="11" ht="15.75" spans="1:9">
      <c r="A11" s="71"/>
      <c r="B11" s="71"/>
      <c r="C11" s="10"/>
      <c r="D11" s="13" t="s">
        <v>282</v>
      </c>
      <c r="E11" s="42">
        <v>21952</v>
      </c>
      <c r="F11" s="9" t="s">
        <v>29</v>
      </c>
      <c r="G11" s="43">
        <f t="shared" ref="G11:G33" si="0">E11*(65.19*365)/POWER(10,9)</f>
        <v>0.5223335712</v>
      </c>
      <c r="H11" s="9" t="s">
        <v>29</v>
      </c>
      <c r="I11" s="16">
        <f t="shared" ref="I11:I33" si="1">G11</f>
        <v>0.5223335712</v>
      </c>
    </row>
    <row r="12" ht="15.75" spans="1:9">
      <c r="A12" s="71"/>
      <c r="B12" s="71"/>
      <c r="C12" s="10" t="s">
        <v>60</v>
      </c>
      <c r="D12" s="13" t="s">
        <v>285</v>
      </c>
      <c r="E12" s="42">
        <v>3033</v>
      </c>
      <c r="F12" s="9" t="s">
        <v>29</v>
      </c>
      <c r="G12" s="43">
        <f t="shared" si="0"/>
        <v>0.07216826355</v>
      </c>
      <c r="H12" s="9" t="s">
        <v>29</v>
      </c>
      <c r="I12" s="16">
        <f t="shared" si="1"/>
        <v>0.07216826355</v>
      </c>
    </row>
    <row r="13" ht="15.75" spans="1:9">
      <c r="A13" s="71"/>
      <c r="B13" s="71"/>
      <c r="C13" s="10"/>
      <c r="D13" s="13" t="s">
        <v>292</v>
      </c>
      <c r="E13" s="42">
        <v>18598</v>
      </c>
      <c r="F13" s="9" t="s">
        <v>29</v>
      </c>
      <c r="G13" s="43">
        <f t="shared" si="0"/>
        <v>0.4425273213</v>
      </c>
      <c r="H13" s="9" t="s">
        <v>29</v>
      </c>
      <c r="I13" s="16">
        <f t="shared" si="1"/>
        <v>0.4425273213</v>
      </c>
    </row>
    <row r="14" ht="15.75" spans="1:9">
      <c r="A14" s="71"/>
      <c r="B14" s="71"/>
      <c r="C14" s="10"/>
      <c r="D14" s="13" t="s">
        <v>293</v>
      </c>
      <c r="E14" s="42">
        <v>36966</v>
      </c>
      <c r="F14" s="9" t="s">
        <v>29</v>
      </c>
      <c r="G14" s="43">
        <f t="shared" si="0"/>
        <v>0.8795819421</v>
      </c>
      <c r="H14" s="9" t="s">
        <v>29</v>
      </c>
      <c r="I14" s="16">
        <f t="shared" si="1"/>
        <v>0.8795819421</v>
      </c>
    </row>
    <row r="15" ht="15.75" spans="1:9">
      <c r="A15" s="71"/>
      <c r="B15" s="71"/>
      <c r="C15" s="10"/>
      <c r="D15" s="13" t="s">
        <v>294</v>
      </c>
      <c r="E15" s="42">
        <v>37940</v>
      </c>
      <c r="F15" s="9" t="s">
        <v>29</v>
      </c>
      <c r="G15" s="43">
        <f t="shared" si="0"/>
        <v>0.902757639</v>
      </c>
      <c r="H15" s="9" t="s">
        <v>29</v>
      </c>
      <c r="I15" s="16">
        <f t="shared" si="1"/>
        <v>0.902757639</v>
      </c>
    </row>
    <row r="16" ht="15.75" spans="1:9">
      <c r="A16" s="71"/>
      <c r="B16" s="71"/>
      <c r="C16" s="10"/>
      <c r="D16" s="13" t="s">
        <v>295</v>
      </c>
      <c r="E16" s="42">
        <v>51862</v>
      </c>
      <c r="F16" s="9" t="s">
        <v>29</v>
      </c>
      <c r="G16" s="43">
        <f t="shared" si="0"/>
        <v>1.2340225797</v>
      </c>
      <c r="H16" s="9" t="s">
        <v>29</v>
      </c>
      <c r="I16" s="16">
        <f t="shared" si="1"/>
        <v>1.2340225797</v>
      </c>
    </row>
    <row r="17" ht="15.75" spans="1:9">
      <c r="A17" s="71"/>
      <c r="B17" s="71"/>
      <c r="C17" s="10"/>
      <c r="D17" s="13" t="s">
        <v>296</v>
      </c>
      <c r="E17" s="42">
        <v>53413</v>
      </c>
      <c r="F17" s="9" t="s">
        <v>29</v>
      </c>
      <c r="G17" s="43">
        <f t="shared" si="0"/>
        <v>1.27092761655</v>
      </c>
      <c r="H17" s="9" t="s">
        <v>29</v>
      </c>
      <c r="I17" s="16">
        <f t="shared" si="1"/>
        <v>1.27092761655</v>
      </c>
    </row>
    <row r="18" ht="15.75" spans="1:9">
      <c r="A18" s="71"/>
      <c r="B18" s="71"/>
      <c r="C18" s="10"/>
      <c r="D18" s="13" t="s">
        <v>297</v>
      </c>
      <c r="E18" s="42">
        <v>88022</v>
      </c>
      <c r="F18" s="9" t="s">
        <v>29</v>
      </c>
      <c r="G18" s="43">
        <f t="shared" si="0"/>
        <v>2.0944262757</v>
      </c>
      <c r="H18" s="9" t="s">
        <v>29</v>
      </c>
      <c r="I18" s="16">
        <f t="shared" si="1"/>
        <v>2.0944262757</v>
      </c>
    </row>
    <row r="19" ht="15.75" spans="1:9">
      <c r="A19" s="71"/>
      <c r="B19" s="71"/>
      <c r="C19" s="10"/>
      <c r="D19" s="13" t="s">
        <v>298</v>
      </c>
      <c r="E19" s="42">
        <v>23968</v>
      </c>
      <c r="F19" s="9" t="s">
        <v>29</v>
      </c>
      <c r="G19" s="43">
        <f t="shared" si="0"/>
        <v>0.5703029808</v>
      </c>
      <c r="H19" s="9" t="s">
        <v>29</v>
      </c>
      <c r="I19" s="16">
        <f t="shared" si="1"/>
        <v>0.5703029808</v>
      </c>
    </row>
    <row r="20" ht="15.75" spans="1:9">
      <c r="A20" s="71"/>
      <c r="B20" s="71"/>
      <c r="C20" s="10"/>
      <c r="D20" s="13" t="s">
        <v>299</v>
      </c>
      <c r="E20" s="42">
        <v>2404</v>
      </c>
      <c r="F20" s="9" t="s">
        <v>29</v>
      </c>
      <c r="G20" s="43">
        <f t="shared" si="0"/>
        <v>0.0572016174</v>
      </c>
      <c r="H20" s="9" t="s">
        <v>29</v>
      </c>
      <c r="I20" s="16">
        <f t="shared" si="1"/>
        <v>0.0572016174</v>
      </c>
    </row>
    <row r="21" ht="15.75" spans="1:9">
      <c r="A21" s="71"/>
      <c r="B21" s="71"/>
      <c r="C21" s="10"/>
      <c r="D21" s="13" t="s">
        <v>274</v>
      </c>
      <c r="E21" s="42">
        <v>61969</v>
      </c>
      <c r="F21" s="9" t="s">
        <v>29</v>
      </c>
      <c r="G21" s="43">
        <f t="shared" si="0"/>
        <v>1.47451207515</v>
      </c>
      <c r="H21" s="9" t="s">
        <v>29</v>
      </c>
      <c r="I21" s="16">
        <f t="shared" si="1"/>
        <v>1.47451207515</v>
      </c>
    </row>
    <row r="22" ht="15.75" spans="1:9">
      <c r="A22" s="71">
        <v>2</v>
      </c>
      <c r="B22" s="70">
        <v>1991</v>
      </c>
      <c r="C22" s="11" t="s">
        <v>245</v>
      </c>
      <c r="D22" s="13" t="s">
        <v>280</v>
      </c>
      <c r="E22" s="42">
        <v>315</v>
      </c>
      <c r="F22" s="9" t="s">
        <v>29</v>
      </c>
      <c r="G22" s="43">
        <f t="shared" si="0"/>
        <v>0.00749522025</v>
      </c>
      <c r="H22" s="9" t="s">
        <v>29</v>
      </c>
      <c r="I22" s="16">
        <f t="shared" si="1"/>
        <v>0.00749522025</v>
      </c>
    </row>
    <row r="23" ht="15.75" spans="1:9">
      <c r="A23" s="71"/>
      <c r="B23" s="83"/>
      <c r="C23" s="23"/>
      <c r="D23" s="13" t="s">
        <v>282</v>
      </c>
      <c r="E23" s="42">
        <v>26900</v>
      </c>
      <c r="F23" s="9" t="s">
        <v>29</v>
      </c>
      <c r="G23" s="43">
        <f t="shared" si="0"/>
        <v>0.640068015</v>
      </c>
      <c r="H23" s="9" t="s">
        <v>29</v>
      </c>
      <c r="I23" s="16">
        <f t="shared" si="1"/>
        <v>0.640068015</v>
      </c>
    </row>
    <row r="24" ht="15.75" spans="1:9">
      <c r="A24" s="71"/>
      <c r="B24" s="83"/>
      <c r="C24" s="11" t="s">
        <v>60</v>
      </c>
      <c r="D24" s="13" t="s">
        <v>285</v>
      </c>
      <c r="E24" s="42">
        <v>4487</v>
      </c>
      <c r="F24" s="9" t="s">
        <v>29</v>
      </c>
      <c r="G24" s="43">
        <f t="shared" si="0"/>
        <v>0.10676524845</v>
      </c>
      <c r="H24" s="9" t="s">
        <v>29</v>
      </c>
      <c r="I24" s="16">
        <f t="shared" si="1"/>
        <v>0.10676524845</v>
      </c>
    </row>
    <row r="25" ht="15.75" spans="1:9">
      <c r="A25" s="71"/>
      <c r="B25" s="83"/>
      <c r="C25" s="22"/>
      <c r="D25" s="13" t="s">
        <v>292</v>
      </c>
      <c r="E25" s="42">
        <v>27516</v>
      </c>
      <c r="F25" s="9" t="s">
        <v>29</v>
      </c>
      <c r="G25" s="43">
        <f t="shared" si="0"/>
        <v>0.6547253346</v>
      </c>
      <c r="H25" s="9" t="s">
        <v>29</v>
      </c>
      <c r="I25" s="16">
        <f t="shared" si="1"/>
        <v>0.6547253346</v>
      </c>
    </row>
    <row r="26" ht="15.75" spans="1:9">
      <c r="A26" s="71"/>
      <c r="B26" s="83"/>
      <c r="C26" s="22"/>
      <c r="D26" s="13" t="s">
        <v>293</v>
      </c>
      <c r="E26" s="42">
        <v>54693</v>
      </c>
      <c r="F26" s="9" t="s">
        <v>29</v>
      </c>
      <c r="G26" s="43">
        <f t="shared" si="0"/>
        <v>1.30138438455</v>
      </c>
      <c r="H26" s="9" t="s">
        <v>29</v>
      </c>
      <c r="I26" s="16">
        <f t="shared" si="1"/>
        <v>1.30138438455</v>
      </c>
    </row>
    <row r="27" ht="15.75" spans="1:9">
      <c r="A27" s="71"/>
      <c r="B27" s="83"/>
      <c r="C27" s="22"/>
      <c r="D27" s="13" t="s">
        <v>294</v>
      </c>
      <c r="E27" s="42">
        <v>56134</v>
      </c>
      <c r="F27" s="9" t="s">
        <v>29</v>
      </c>
      <c r="G27" s="43">
        <f t="shared" si="0"/>
        <v>1.3356720429</v>
      </c>
      <c r="H27" s="9" t="s">
        <v>29</v>
      </c>
      <c r="I27" s="16">
        <f t="shared" si="1"/>
        <v>1.3356720429</v>
      </c>
    </row>
    <row r="28" ht="15.75" spans="1:9">
      <c r="A28" s="71"/>
      <c r="B28" s="83"/>
      <c r="C28" s="22"/>
      <c r="D28" s="13" t="s">
        <v>295</v>
      </c>
      <c r="E28" s="42">
        <v>76732</v>
      </c>
      <c r="F28" s="9" t="s">
        <v>29</v>
      </c>
      <c r="G28" s="43">
        <f t="shared" si="0"/>
        <v>1.8257880642</v>
      </c>
      <c r="H28" s="9" t="s">
        <v>29</v>
      </c>
      <c r="I28" s="16">
        <f t="shared" si="1"/>
        <v>1.8257880642</v>
      </c>
    </row>
    <row r="29" ht="15.75" spans="1:9">
      <c r="A29" s="71"/>
      <c r="B29" s="83"/>
      <c r="C29" s="22"/>
      <c r="D29" s="13" t="s">
        <v>296</v>
      </c>
      <c r="E29" s="42">
        <v>79028</v>
      </c>
      <c r="F29" s="9" t="s">
        <v>29</v>
      </c>
      <c r="G29" s="43">
        <f t="shared" si="0"/>
        <v>1.8804198918</v>
      </c>
      <c r="H29" s="9" t="s">
        <v>29</v>
      </c>
      <c r="I29" s="16">
        <f t="shared" si="1"/>
        <v>1.8804198918</v>
      </c>
    </row>
    <row r="30" ht="15.75" spans="1:9">
      <c r="A30" s="71"/>
      <c r="B30" s="83"/>
      <c r="C30" s="22"/>
      <c r="D30" s="13" t="s">
        <v>297</v>
      </c>
      <c r="E30" s="42">
        <v>130232</v>
      </c>
      <c r="F30" s="9" t="s">
        <v>29</v>
      </c>
      <c r="G30" s="43">
        <f t="shared" si="0"/>
        <v>3.0987857892</v>
      </c>
      <c r="H30" s="9" t="s">
        <v>29</v>
      </c>
      <c r="I30" s="16">
        <f t="shared" si="1"/>
        <v>3.0987857892</v>
      </c>
    </row>
    <row r="31" ht="15.75" spans="1:9">
      <c r="A31" s="71"/>
      <c r="B31" s="83"/>
      <c r="C31" s="22"/>
      <c r="D31" s="13" t="s">
        <v>298</v>
      </c>
      <c r="E31" s="42">
        <v>35462</v>
      </c>
      <c r="F31" s="9" t="s">
        <v>29</v>
      </c>
      <c r="G31" s="43">
        <f t="shared" si="0"/>
        <v>0.8437952397</v>
      </c>
      <c r="H31" s="9" t="s">
        <v>29</v>
      </c>
      <c r="I31" s="16">
        <f t="shared" si="1"/>
        <v>0.8437952397</v>
      </c>
    </row>
    <row r="32" ht="15.75" spans="1:9">
      <c r="A32" s="71"/>
      <c r="B32" s="83"/>
      <c r="C32" s="22"/>
      <c r="D32" s="13" t="s">
        <v>299</v>
      </c>
      <c r="E32" s="42">
        <v>2492</v>
      </c>
      <c r="F32" s="9" t="s">
        <v>29</v>
      </c>
      <c r="G32" s="43">
        <f t="shared" si="0"/>
        <v>0.0592955202</v>
      </c>
      <c r="H32" s="9" t="s">
        <v>29</v>
      </c>
      <c r="I32" s="16">
        <f t="shared" si="1"/>
        <v>0.0592955202</v>
      </c>
    </row>
    <row r="33" ht="15.75" spans="1:9">
      <c r="A33" s="71"/>
      <c r="B33" s="84"/>
      <c r="C33" s="23"/>
      <c r="D33" s="13" t="s">
        <v>274</v>
      </c>
      <c r="E33" s="42">
        <v>64235</v>
      </c>
      <c r="F33" s="9" t="s">
        <v>29</v>
      </c>
      <c r="G33" s="43">
        <f t="shared" si="0"/>
        <v>1.52843007225</v>
      </c>
      <c r="H33" s="9" t="s">
        <v>29</v>
      </c>
      <c r="I33" s="16">
        <f t="shared" si="1"/>
        <v>1.52843007225</v>
      </c>
    </row>
    <row r="34" ht="15.75" spans="1:11">
      <c r="A34" s="71">
        <v>3</v>
      </c>
      <c r="B34" s="70">
        <v>2001</v>
      </c>
      <c r="C34" s="11" t="s">
        <v>285</v>
      </c>
      <c r="D34" s="13" t="s">
        <v>297</v>
      </c>
      <c r="E34" s="42">
        <v>146405</v>
      </c>
      <c r="F34" s="19">
        <v>208931</v>
      </c>
      <c r="G34" s="43">
        <f t="shared" ref="G34:G69" si="2">E34*(65.19*365)/POWER(10,9)</f>
        <v>3.48361181175</v>
      </c>
      <c r="H34" s="20">
        <v>4.1661595440314</v>
      </c>
      <c r="I34" s="43">
        <f t="shared" ref="I34:I69" si="3">G34+H34</f>
        <v>7.6497713557814</v>
      </c>
      <c r="K34" s="53"/>
    </row>
    <row r="35" ht="15.75" spans="1:11">
      <c r="A35" s="71"/>
      <c r="B35" s="83"/>
      <c r="C35" s="22"/>
      <c r="D35" s="13" t="s">
        <v>298</v>
      </c>
      <c r="E35" s="42">
        <v>39866</v>
      </c>
      <c r="F35" s="19">
        <v>65546</v>
      </c>
      <c r="G35" s="43">
        <f t="shared" si="2"/>
        <v>0.9485855571</v>
      </c>
      <c r="H35" s="20">
        <v>0.894426259476579</v>
      </c>
      <c r="I35" s="43">
        <f t="shared" si="3"/>
        <v>1.84301181657658</v>
      </c>
      <c r="K35" s="53"/>
    </row>
    <row r="36" ht="15.75" spans="1:11">
      <c r="A36" s="71"/>
      <c r="B36" s="83"/>
      <c r="C36" s="22"/>
      <c r="D36" s="13" t="s">
        <v>285</v>
      </c>
      <c r="E36" s="42">
        <v>5044</v>
      </c>
      <c r="F36" s="19">
        <v>9508</v>
      </c>
      <c r="G36" s="43">
        <f t="shared" si="2"/>
        <v>0.1200187014</v>
      </c>
      <c r="H36" s="20">
        <v>0.16606775630921</v>
      </c>
      <c r="I36" s="43">
        <f t="shared" si="3"/>
        <v>0.28608645770921</v>
      </c>
      <c r="K36" s="53"/>
    </row>
    <row r="37" ht="15.75" spans="1:11">
      <c r="A37" s="71"/>
      <c r="B37" s="83"/>
      <c r="C37" s="22"/>
      <c r="D37" s="13" t="s">
        <v>293</v>
      </c>
      <c r="E37" s="42">
        <v>61485</v>
      </c>
      <c r="F37" s="19">
        <v>115617</v>
      </c>
      <c r="G37" s="43">
        <f t="shared" si="2"/>
        <v>1.46299560975</v>
      </c>
      <c r="H37" s="20">
        <v>1.98048921634987</v>
      </c>
      <c r="I37" s="43">
        <f t="shared" si="3"/>
        <v>3.44348482609987</v>
      </c>
      <c r="K37" s="53"/>
    </row>
    <row r="38" ht="15.75" spans="1:11">
      <c r="A38" s="71"/>
      <c r="B38" s="83"/>
      <c r="C38" s="22"/>
      <c r="D38" s="13" t="s">
        <v>294</v>
      </c>
      <c r="E38" s="42">
        <v>63106</v>
      </c>
      <c r="F38" s="19">
        <v>142825</v>
      </c>
      <c r="G38" s="43">
        <f t="shared" si="2"/>
        <v>1.5015662511</v>
      </c>
      <c r="H38" s="20">
        <v>2.32277529961553</v>
      </c>
      <c r="I38" s="43">
        <f t="shared" si="3"/>
        <v>3.82434155071553</v>
      </c>
      <c r="K38" s="53"/>
    </row>
    <row r="39" ht="15.75" spans="1:11">
      <c r="A39" s="71"/>
      <c r="B39" s="83"/>
      <c r="C39" s="22"/>
      <c r="D39" s="13" t="s">
        <v>292</v>
      </c>
      <c r="E39" s="42">
        <v>30934</v>
      </c>
      <c r="F39" s="19">
        <v>40162</v>
      </c>
      <c r="G39" s="43">
        <f t="shared" si="2"/>
        <v>0.7360544229</v>
      </c>
      <c r="H39" s="20">
        <v>0.677583369049732</v>
      </c>
      <c r="I39" s="43">
        <f t="shared" si="3"/>
        <v>1.41363779194973</v>
      </c>
      <c r="K39" s="53"/>
    </row>
    <row r="40" ht="15.75" spans="1:11">
      <c r="A40" s="71"/>
      <c r="B40" s="83"/>
      <c r="C40" s="22"/>
      <c r="D40" s="13" t="s">
        <v>296</v>
      </c>
      <c r="E40" s="42">
        <v>88842</v>
      </c>
      <c r="F40" s="19">
        <v>213453</v>
      </c>
      <c r="G40" s="43">
        <f t="shared" si="2"/>
        <v>2.1139376427</v>
      </c>
      <c r="H40" s="20">
        <v>3.0912082881021</v>
      </c>
      <c r="I40" s="43">
        <f t="shared" si="3"/>
        <v>5.2051459308021</v>
      </c>
      <c r="K40" s="53"/>
    </row>
    <row r="41" ht="15.75" spans="1:11">
      <c r="A41" s="71"/>
      <c r="B41" s="83"/>
      <c r="C41" s="23"/>
      <c r="D41" s="13" t="s">
        <v>295</v>
      </c>
      <c r="E41" s="42">
        <v>86261</v>
      </c>
      <c r="F41" s="19">
        <v>175379</v>
      </c>
      <c r="G41" s="43">
        <f t="shared" si="2"/>
        <v>2.05252442535</v>
      </c>
      <c r="H41" s="20">
        <v>2.07491204025287</v>
      </c>
      <c r="I41" s="43">
        <f t="shared" si="3"/>
        <v>4.12743646560287</v>
      </c>
      <c r="K41" s="53"/>
    </row>
    <row r="42" ht="15.75" spans="1:11">
      <c r="A42" s="71"/>
      <c r="B42" s="83"/>
      <c r="C42" s="11" t="s">
        <v>60</v>
      </c>
      <c r="D42" s="13" t="s">
        <v>274</v>
      </c>
      <c r="E42" s="42">
        <v>75821</v>
      </c>
      <c r="F42" s="19">
        <v>57467</v>
      </c>
      <c r="G42" s="43">
        <f t="shared" si="2"/>
        <v>1.80411141135</v>
      </c>
      <c r="H42" s="20">
        <v>1.18196141975148</v>
      </c>
      <c r="I42" s="43">
        <f t="shared" si="3"/>
        <v>2.98607283110148</v>
      </c>
      <c r="K42" s="53"/>
    </row>
    <row r="43" ht="15.75" spans="1:11">
      <c r="A43" s="71"/>
      <c r="B43" s="83"/>
      <c r="C43" s="23"/>
      <c r="D43" s="13" t="s">
        <v>299</v>
      </c>
      <c r="E43" s="42">
        <v>2941</v>
      </c>
      <c r="F43" s="19">
        <v>2652</v>
      </c>
      <c r="G43" s="43">
        <f t="shared" si="2"/>
        <v>0.06997918335</v>
      </c>
      <c r="H43" s="20">
        <v>0.0481632324329163</v>
      </c>
      <c r="I43" s="43">
        <f t="shared" si="3"/>
        <v>0.118142415782916</v>
      </c>
      <c r="K43" s="53"/>
    </row>
    <row r="44" ht="15.75" spans="1:11">
      <c r="A44" s="71"/>
      <c r="B44" s="83"/>
      <c r="C44" s="11" t="s">
        <v>245</v>
      </c>
      <c r="D44" s="13" t="s">
        <v>280</v>
      </c>
      <c r="E44" s="42">
        <v>329</v>
      </c>
      <c r="F44" s="19">
        <v>1012</v>
      </c>
      <c r="G44" s="43">
        <f t="shared" si="2"/>
        <v>0.00782834115</v>
      </c>
      <c r="H44" s="20">
        <v>0.0216586807456277</v>
      </c>
      <c r="I44" s="43">
        <f t="shared" si="3"/>
        <v>0.0294870218956277</v>
      </c>
      <c r="K44" s="53"/>
    </row>
    <row r="45" ht="15.75" spans="1:11">
      <c r="A45" s="71"/>
      <c r="B45" s="84"/>
      <c r="C45" s="23"/>
      <c r="D45" s="13" t="s">
        <v>282</v>
      </c>
      <c r="E45" s="42">
        <v>28136</v>
      </c>
      <c r="F45" s="19">
        <v>58687</v>
      </c>
      <c r="G45" s="43">
        <f t="shared" si="2"/>
        <v>0.6694778316</v>
      </c>
      <c r="H45" s="20">
        <v>1.3440792035344</v>
      </c>
      <c r="I45" s="43">
        <f t="shared" si="3"/>
        <v>2.0135570351344</v>
      </c>
      <c r="K45" s="53"/>
    </row>
    <row r="46" ht="15.75" spans="1:11">
      <c r="A46" s="71">
        <v>4</v>
      </c>
      <c r="B46" s="70">
        <v>2011</v>
      </c>
      <c r="C46" s="11" t="s">
        <v>285</v>
      </c>
      <c r="D46" s="13" t="s">
        <v>297</v>
      </c>
      <c r="E46" s="42">
        <v>160182</v>
      </c>
      <c r="F46" s="19">
        <v>173849</v>
      </c>
      <c r="G46" s="43">
        <f t="shared" si="2"/>
        <v>3.8114265717</v>
      </c>
      <c r="H46" s="20">
        <v>3.71737651307396</v>
      </c>
      <c r="I46" s="43">
        <f t="shared" si="3"/>
        <v>7.52880308477396</v>
      </c>
      <c r="K46" s="53"/>
    </row>
    <row r="47" ht="15.75" spans="1:11">
      <c r="A47" s="71"/>
      <c r="B47" s="83"/>
      <c r="C47" s="22"/>
      <c r="D47" s="13" t="s">
        <v>298</v>
      </c>
      <c r="E47" s="42">
        <v>43617</v>
      </c>
      <c r="F47" s="19">
        <v>69657</v>
      </c>
      <c r="G47" s="43">
        <f t="shared" si="2"/>
        <v>1.03783816395</v>
      </c>
      <c r="H47" s="20">
        <v>0.988573873401495</v>
      </c>
      <c r="I47" s="43">
        <f t="shared" si="3"/>
        <v>2.02641203735149</v>
      </c>
      <c r="K47" s="53"/>
    </row>
    <row r="48" ht="15.75" spans="1:11">
      <c r="A48" s="71"/>
      <c r="B48" s="83"/>
      <c r="C48" s="22"/>
      <c r="D48" s="13" t="s">
        <v>285</v>
      </c>
      <c r="E48" s="42">
        <v>5519</v>
      </c>
      <c r="F48" s="19">
        <v>7273</v>
      </c>
      <c r="G48" s="43">
        <f t="shared" si="2"/>
        <v>0.13132101765</v>
      </c>
      <c r="H48" s="20">
        <v>0.138642500987535</v>
      </c>
      <c r="I48" s="43">
        <f t="shared" si="3"/>
        <v>0.269963518637535</v>
      </c>
      <c r="K48" s="53"/>
    </row>
    <row r="49" ht="15.75" spans="1:11">
      <c r="A49" s="71"/>
      <c r="B49" s="83"/>
      <c r="C49" s="22"/>
      <c r="D49" s="13" t="s">
        <v>293</v>
      </c>
      <c r="E49" s="42">
        <v>67271</v>
      </c>
      <c r="F49" s="19">
        <v>104605</v>
      </c>
      <c r="G49" s="43">
        <f t="shared" si="2"/>
        <v>1.60066971885</v>
      </c>
      <c r="H49" s="20">
        <v>1.74476560875</v>
      </c>
      <c r="I49" s="43">
        <f t="shared" si="3"/>
        <v>3.3454353276</v>
      </c>
      <c r="K49" s="53"/>
    </row>
    <row r="50" ht="15.75" spans="1:11">
      <c r="A50" s="71"/>
      <c r="B50" s="83"/>
      <c r="C50" s="22"/>
      <c r="D50" s="13" t="s">
        <v>294</v>
      </c>
      <c r="E50" s="42">
        <v>69044</v>
      </c>
      <c r="F50" s="19">
        <v>134488</v>
      </c>
      <c r="G50" s="43">
        <f t="shared" si="2"/>
        <v>1.6428571014</v>
      </c>
      <c r="H50" s="20">
        <v>2.162751874</v>
      </c>
      <c r="I50" s="43">
        <f t="shared" si="3"/>
        <v>3.8056089754</v>
      </c>
      <c r="K50" s="53"/>
    </row>
    <row r="51" ht="15.75" spans="1:11">
      <c r="A51" s="71"/>
      <c r="B51" s="83"/>
      <c r="C51" s="22"/>
      <c r="D51" s="13" t="s">
        <v>292</v>
      </c>
      <c r="E51" s="42">
        <v>33844</v>
      </c>
      <c r="F51" s="19">
        <v>42692</v>
      </c>
      <c r="G51" s="43">
        <f t="shared" si="2"/>
        <v>0.8052959814</v>
      </c>
      <c r="H51" s="20">
        <v>0.663633408258622</v>
      </c>
      <c r="I51" s="43">
        <f t="shared" si="3"/>
        <v>1.46892938965862</v>
      </c>
      <c r="K51" s="53"/>
    </row>
    <row r="52" ht="15.75" spans="1:11">
      <c r="A52" s="71"/>
      <c r="B52" s="83"/>
      <c r="C52" s="22"/>
      <c r="D52" s="13" t="s">
        <v>296</v>
      </c>
      <c r="E52" s="42">
        <v>97202</v>
      </c>
      <c r="F52" s="19">
        <v>172306</v>
      </c>
      <c r="G52" s="43">
        <f t="shared" si="2"/>
        <v>2.3128584087</v>
      </c>
      <c r="H52" s="20">
        <v>2.775883035</v>
      </c>
      <c r="I52" s="43">
        <f t="shared" si="3"/>
        <v>5.0887414437</v>
      </c>
      <c r="K52" s="53"/>
    </row>
    <row r="53" ht="15.75" spans="1:11">
      <c r="A53" s="71"/>
      <c r="B53" s="83"/>
      <c r="C53" s="23"/>
      <c r="D53" s="13" t="s">
        <v>295</v>
      </c>
      <c r="E53" s="42">
        <v>94378</v>
      </c>
      <c r="F53" s="19">
        <v>169417</v>
      </c>
      <c r="G53" s="43">
        <f t="shared" si="2"/>
        <v>2.2456631643</v>
      </c>
      <c r="H53" s="20">
        <v>2.81877348847506</v>
      </c>
      <c r="I53" s="43">
        <f t="shared" si="3"/>
        <v>5.06443665277506</v>
      </c>
      <c r="K53" s="53"/>
    </row>
    <row r="54" ht="15.75" spans="1:11">
      <c r="A54" s="71"/>
      <c r="B54" s="83"/>
      <c r="C54" s="11" t="s">
        <v>60</v>
      </c>
      <c r="D54" s="13" t="s">
        <v>274</v>
      </c>
      <c r="E54" s="42">
        <v>86309</v>
      </c>
      <c r="F54" s="19">
        <v>84390</v>
      </c>
      <c r="G54" s="43">
        <f t="shared" si="2"/>
        <v>2.05366655415</v>
      </c>
      <c r="H54" s="20">
        <v>1.60893769312264</v>
      </c>
      <c r="I54" s="43">
        <f t="shared" si="3"/>
        <v>3.66260424727264</v>
      </c>
      <c r="K54" s="53"/>
    </row>
    <row r="55" ht="15.75" spans="1:11">
      <c r="A55" s="71"/>
      <c r="B55" s="83"/>
      <c r="C55" s="23"/>
      <c r="D55" s="13" t="s">
        <v>299</v>
      </c>
      <c r="E55" s="42">
        <v>3348</v>
      </c>
      <c r="F55" s="19">
        <v>2435</v>
      </c>
      <c r="G55" s="43">
        <f t="shared" si="2"/>
        <v>0.0796634838</v>
      </c>
      <c r="H55" s="20">
        <v>0.04954040799435</v>
      </c>
      <c r="I55" s="43">
        <f t="shared" si="3"/>
        <v>0.12920389179435</v>
      </c>
      <c r="K55" s="53"/>
    </row>
    <row r="56" ht="15.75" spans="1:11">
      <c r="A56" s="71"/>
      <c r="B56" s="83"/>
      <c r="C56" s="11" t="s">
        <v>245</v>
      </c>
      <c r="D56" s="13" t="s">
        <v>280</v>
      </c>
      <c r="E56" s="42">
        <v>373</v>
      </c>
      <c r="F56" s="19">
        <v>611</v>
      </c>
      <c r="G56" s="43">
        <f t="shared" si="2"/>
        <v>0.00887529255</v>
      </c>
      <c r="H56" s="20">
        <v>0.0129522240431495</v>
      </c>
      <c r="I56" s="43">
        <f t="shared" si="3"/>
        <v>0.0218275165931495</v>
      </c>
      <c r="K56" s="53"/>
    </row>
    <row r="57" ht="15.75" spans="1:11">
      <c r="A57" s="71"/>
      <c r="B57" s="84"/>
      <c r="C57" s="23"/>
      <c r="D57" s="13" t="s">
        <v>282</v>
      </c>
      <c r="E57" s="42">
        <v>31830</v>
      </c>
      <c r="F57" s="19">
        <v>88398</v>
      </c>
      <c r="G57" s="43">
        <f t="shared" si="2"/>
        <v>0.7573741605</v>
      </c>
      <c r="H57" s="20">
        <v>1.04907580722583</v>
      </c>
      <c r="I57" s="43">
        <f t="shared" si="3"/>
        <v>1.80644996772583</v>
      </c>
      <c r="K57" s="53"/>
    </row>
    <row r="58" ht="15.75" spans="1:11">
      <c r="A58" s="71">
        <v>5</v>
      </c>
      <c r="B58" s="70">
        <v>2021</v>
      </c>
      <c r="C58" s="11" t="s">
        <v>285</v>
      </c>
      <c r="D58" s="13" t="s">
        <v>297</v>
      </c>
      <c r="E58" s="42">
        <v>170018</v>
      </c>
      <c r="F58" s="19">
        <v>255988</v>
      </c>
      <c r="G58" s="43">
        <f t="shared" si="2"/>
        <v>4.0454677983</v>
      </c>
      <c r="H58" s="20">
        <v>5.04045862771401</v>
      </c>
      <c r="I58" s="43">
        <f t="shared" si="3"/>
        <v>9.08592642601401</v>
      </c>
      <c r="K58" s="53"/>
    </row>
    <row r="59" ht="15.75" spans="1:11">
      <c r="A59" s="71"/>
      <c r="B59" s="83"/>
      <c r="C59" s="22"/>
      <c r="D59" s="13" t="s">
        <v>298</v>
      </c>
      <c r="E59" s="42">
        <v>46296</v>
      </c>
      <c r="F59" s="19">
        <v>72056</v>
      </c>
      <c r="G59" s="43">
        <f t="shared" si="2"/>
        <v>1.1015832276</v>
      </c>
      <c r="H59" s="20">
        <v>1.03014280026287</v>
      </c>
      <c r="I59" s="43">
        <f t="shared" si="3"/>
        <v>2.13172602786287</v>
      </c>
      <c r="K59" s="53"/>
    </row>
    <row r="60" ht="15.75" spans="1:11">
      <c r="A60" s="71"/>
      <c r="B60" s="83"/>
      <c r="C60" s="22"/>
      <c r="D60" s="13" t="s">
        <v>285</v>
      </c>
      <c r="E60" s="42">
        <v>5858</v>
      </c>
      <c r="F60" s="19">
        <v>8533</v>
      </c>
      <c r="G60" s="43">
        <f t="shared" si="2"/>
        <v>0.1393873023</v>
      </c>
      <c r="H60" s="20">
        <v>0.12423545697487</v>
      </c>
      <c r="I60" s="43">
        <f t="shared" si="3"/>
        <v>0.26362275927487</v>
      </c>
      <c r="K60" s="53"/>
    </row>
    <row r="61" ht="15.75" spans="1:11">
      <c r="A61" s="71"/>
      <c r="B61" s="83"/>
      <c r="C61" s="22"/>
      <c r="D61" s="13" t="s">
        <v>293</v>
      </c>
      <c r="E61" s="42">
        <v>71401</v>
      </c>
      <c r="F61" s="19">
        <v>136614</v>
      </c>
      <c r="G61" s="43">
        <f t="shared" si="2"/>
        <v>1.69894038435</v>
      </c>
      <c r="H61" s="20">
        <v>1.917270905</v>
      </c>
      <c r="I61" s="43">
        <f t="shared" si="3"/>
        <v>3.61621128935</v>
      </c>
      <c r="K61" s="53"/>
    </row>
    <row r="62" ht="15.75" spans="1:11">
      <c r="A62" s="71"/>
      <c r="B62" s="83"/>
      <c r="C62" s="22"/>
      <c r="D62" s="13" t="s">
        <v>294</v>
      </c>
      <c r="E62" s="42">
        <v>73283</v>
      </c>
      <c r="F62" s="19">
        <v>193875</v>
      </c>
      <c r="G62" s="43">
        <f t="shared" si="2"/>
        <v>1.74372135105</v>
      </c>
      <c r="H62" s="20">
        <v>2.18254273714286</v>
      </c>
      <c r="I62" s="43">
        <f t="shared" si="3"/>
        <v>3.92626408819286</v>
      </c>
      <c r="K62" s="53"/>
    </row>
    <row r="63" ht="15.75" spans="1:11">
      <c r="A63" s="71"/>
      <c r="B63" s="83"/>
      <c r="C63" s="22"/>
      <c r="D63" s="13" t="s">
        <v>292</v>
      </c>
      <c r="E63" s="42">
        <v>35923</v>
      </c>
      <c r="F63" s="19">
        <v>22844</v>
      </c>
      <c r="G63" s="43">
        <f t="shared" si="2"/>
        <v>0.85476443505</v>
      </c>
      <c r="H63" s="20">
        <v>0.439104643541813</v>
      </c>
      <c r="I63" s="43">
        <f t="shared" si="3"/>
        <v>1.29386907859181</v>
      </c>
      <c r="K63" s="53"/>
    </row>
    <row r="64" ht="15.75" spans="1:11">
      <c r="A64" s="71"/>
      <c r="B64" s="83"/>
      <c r="C64" s="22"/>
      <c r="D64" s="13" t="s">
        <v>296</v>
      </c>
      <c r="E64" s="42">
        <v>103171</v>
      </c>
      <c r="F64" s="19">
        <v>212388</v>
      </c>
      <c r="G64" s="43">
        <f t="shared" si="2"/>
        <v>2.45488688385</v>
      </c>
      <c r="H64" s="20">
        <v>2.68666697142857</v>
      </c>
      <c r="I64" s="43">
        <f t="shared" si="3"/>
        <v>5.14155385527857</v>
      </c>
      <c r="K64" s="53"/>
    </row>
    <row r="65" ht="15.75" spans="1:11">
      <c r="A65" s="71"/>
      <c r="B65" s="83"/>
      <c r="C65" s="23"/>
      <c r="D65" s="13" t="s">
        <v>295</v>
      </c>
      <c r="E65" s="42">
        <v>100174</v>
      </c>
      <c r="F65" s="19">
        <v>210952</v>
      </c>
      <c r="G65" s="43">
        <f t="shared" si="2"/>
        <v>2.3835752169</v>
      </c>
      <c r="H65" s="20">
        <v>2.40485016515446</v>
      </c>
      <c r="I65" s="43">
        <f t="shared" si="3"/>
        <v>4.78842538205446</v>
      </c>
      <c r="K65" s="53"/>
    </row>
    <row r="66" ht="15.75" spans="1:11">
      <c r="A66" s="71"/>
      <c r="B66" s="83"/>
      <c r="C66" s="11" t="s">
        <v>60</v>
      </c>
      <c r="D66" s="13" t="s">
        <v>274</v>
      </c>
      <c r="E66" s="42">
        <v>98533</v>
      </c>
      <c r="F66" s="19">
        <v>75323</v>
      </c>
      <c r="G66" s="43">
        <f t="shared" si="2"/>
        <v>2.34452868855</v>
      </c>
      <c r="H66" s="20">
        <v>1.58239172331493</v>
      </c>
      <c r="I66" s="43">
        <f t="shared" si="3"/>
        <v>3.92692041186493</v>
      </c>
      <c r="K66" s="53"/>
    </row>
    <row r="67" ht="15.75" spans="1:11">
      <c r="A67" s="71"/>
      <c r="B67" s="83"/>
      <c r="C67" s="23"/>
      <c r="D67" s="13" t="s">
        <v>299</v>
      </c>
      <c r="E67" s="42">
        <v>3822</v>
      </c>
      <c r="F67" s="19">
        <v>1360</v>
      </c>
      <c r="G67" s="43">
        <f t="shared" si="2"/>
        <v>0.0909420057</v>
      </c>
      <c r="H67" s="20">
        <v>0.0365438692425857</v>
      </c>
      <c r="I67" s="43">
        <f t="shared" si="3"/>
        <v>0.127485874942586</v>
      </c>
      <c r="K67" s="53"/>
    </row>
    <row r="68" ht="15.75" spans="1:11">
      <c r="A68" s="71"/>
      <c r="B68" s="83"/>
      <c r="C68" s="11" t="s">
        <v>245</v>
      </c>
      <c r="D68" s="13" t="s">
        <v>280</v>
      </c>
      <c r="E68" s="42">
        <v>404</v>
      </c>
      <c r="F68" s="19">
        <v>980</v>
      </c>
      <c r="G68" s="43">
        <f t="shared" si="2"/>
        <v>0.0096129174</v>
      </c>
      <c r="H68" s="20">
        <v>0.0135258907958571</v>
      </c>
      <c r="I68" s="43">
        <f t="shared" si="3"/>
        <v>0.0231388081958571</v>
      </c>
      <c r="K68" s="53"/>
    </row>
    <row r="69" ht="15.75" spans="1:11">
      <c r="A69" s="71"/>
      <c r="B69" s="84"/>
      <c r="C69" s="23"/>
      <c r="D69" s="13" t="s">
        <v>282</v>
      </c>
      <c r="E69" s="42">
        <v>34496</v>
      </c>
      <c r="F69" s="19">
        <v>47148</v>
      </c>
      <c r="G69" s="43">
        <f t="shared" si="2"/>
        <v>0.8208098976</v>
      </c>
      <c r="H69" s="20">
        <v>0.863056258208321</v>
      </c>
      <c r="I69" s="43">
        <f t="shared" si="3"/>
        <v>1.68386615580832</v>
      </c>
      <c r="K69" s="53"/>
    </row>
    <row r="71" ht="15.75" spans="1:9">
      <c r="A71" s="4" t="s">
        <v>81</v>
      </c>
      <c r="B71" s="68"/>
      <c r="C71" s="145"/>
      <c r="D71" s="33"/>
      <c r="E71" s="124" t="s">
        <v>8</v>
      </c>
      <c r="F71" s="124"/>
      <c r="G71" s="124"/>
      <c r="H71" s="124"/>
      <c r="I71" s="124"/>
    </row>
    <row r="72" ht="47.25" spans="1:9">
      <c r="A72" s="35" t="s">
        <v>103</v>
      </c>
      <c r="B72" s="35" t="s">
        <v>10</v>
      </c>
      <c r="C72" s="35" t="s">
        <v>11</v>
      </c>
      <c r="D72" s="35" t="s">
        <v>83</v>
      </c>
      <c r="E72" s="35" t="s">
        <v>13</v>
      </c>
      <c r="F72" s="35" t="s">
        <v>84</v>
      </c>
      <c r="G72" s="35" t="s">
        <v>15</v>
      </c>
      <c r="H72" s="35" t="s">
        <v>16</v>
      </c>
      <c r="I72" s="35" t="s">
        <v>17</v>
      </c>
    </row>
    <row r="73" ht="15.75" spans="1:9">
      <c r="A73" s="9" t="s">
        <v>18</v>
      </c>
      <c r="B73" s="10" t="s">
        <v>19</v>
      </c>
      <c r="C73" s="9" t="s">
        <v>20</v>
      </c>
      <c r="D73" s="10" t="s">
        <v>21</v>
      </c>
      <c r="E73" s="10" t="s">
        <v>22</v>
      </c>
      <c r="F73" s="10" t="s">
        <v>23</v>
      </c>
      <c r="G73" s="10" t="s">
        <v>24</v>
      </c>
      <c r="H73" s="10" t="s">
        <v>25</v>
      </c>
      <c r="I73" s="10" t="s">
        <v>26</v>
      </c>
    </row>
    <row r="74" ht="30" customHeight="1" spans="1:9">
      <c r="A74" s="70">
        <v>1</v>
      </c>
      <c r="B74" s="83">
        <v>1981</v>
      </c>
      <c r="C74" s="11" t="s">
        <v>60</v>
      </c>
      <c r="D74" s="13" t="s">
        <v>285</v>
      </c>
      <c r="E74" s="15">
        <v>11142</v>
      </c>
      <c r="F74" s="15" t="s">
        <v>29</v>
      </c>
      <c r="G74" s="43">
        <f>E74*(162*365)/POWER(10,9)</f>
        <v>0.65882646</v>
      </c>
      <c r="H74" s="15" t="s">
        <v>29</v>
      </c>
      <c r="I74" s="43">
        <f>G74</f>
        <v>0.65882646</v>
      </c>
    </row>
    <row r="75" ht="34.5" customHeight="1" spans="1:9">
      <c r="A75" s="84"/>
      <c r="B75" s="84"/>
      <c r="C75" s="22"/>
      <c r="D75" s="13" t="s">
        <v>295</v>
      </c>
      <c r="E75" s="15">
        <v>8059</v>
      </c>
      <c r="F75" s="15" t="s">
        <v>29</v>
      </c>
      <c r="G75" s="43">
        <f t="shared" ref="G75:G94" si="4">E75*(162*365)/POWER(10,9)</f>
        <v>0.47652867</v>
      </c>
      <c r="H75" s="15" t="s">
        <v>29</v>
      </c>
      <c r="I75" s="43">
        <f t="shared" ref="I75:I78" si="5">G75</f>
        <v>0.47652867</v>
      </c>
    </row>
    <row r="76" ht="15.75" spans="1:9">
      <c r="A76" s="70">
        <v>2</v>
      </c>
      <c r="B76" s="70">
        <v>1991</v>
      </c>
      <c r="C76" s="11" t="s">
        <v>60</v>
      </c>
      <c r="D76" s="13" t="s">
        <v>285</v>
      </c>
      <c r="E76" s="15">
        <v>14788</v>
      </c>
      <c r="F76" s="15" t="s">
        <v>29</v>
      </c>
      <c r="G76" s="43">
        <f t="shared" si="4"/>
        <v>0.87441444</v>
      </c>
      <c r="H76" s="15" t="s">
        <v>29</v>
      </c>
      <c r="I76" s="43">
        <f t="shared" si="5"/>
        <v>0.87441444</v>
      </c>
    </row>
    <row r="77" ht="15.75" spans="1:9">
      <c r="A77" s="84"/>
      <c r="B77" s="84"/>
      <c r="C77" s="23"/>
      <c r="D77" s="13" t="s">
        <v>295</v>
      </c>
      <c r="E77" s="15">
        <v>10917</v>
      </c>
      <c r="F77" s="15" t="s">
        <v>29</v>
      </c>
      <c r="G77" s="43">
        <f t="shared" si="4"/>
        <v>0.64552221</v>
      </c>
      <c r="H77" s="15" t="s">
        <v>29</v>
      </c>
      <c r="I77" s="43">
        <f t="shared" si="5"/>
        <v>0.64552221</v>
      </c>
    </row>
    <row r="78" ht="15.75" spans="1:9">
      <c r="A78" s="71">
        <v>3</v>
      </c>
      <c r="B78" s="70">
        <v>2001</v>
      </c>
      <c r="C78" s="11" t="s">
        <v>285</v>
      </c>
      <c r="D78" s="13" t="s">
        <v>297</v>
      </c>
      <c r="E78" s="15">
        <v>7025</v>
      </c>
      <c r="F78" s="15" t="s">
        <v>29</v>
      </c>
      <c r="G78" s="43">
        <f t="shared" si="4"/>
        <v>0.41538825</v>
      </c>
      <c r="H78" s="15" t="s">
        <v>29</v>
      </c>
      <c r="I78" s="43">
        <f t="shared" si="5"/>
        <v>0.41538825</v>
      </c>
    </row>
    <row r="79" ht="15.75" spans="1:9">
      <c r="A79" s="146"/>
      <c r="B79" s="83"/>
      <c r="C79" s="22"/>
      <c r="D79" s="13" t="s">
        <v>285</v>
      </c>
      <c r="E79" s="15">
        <v>20239</v>
      </c>
      <c r="F79" s="42">
        <v>8231</v>
      </c>
      <c r="G79" s="43">
        <f t="shared" si="4"/>
        <v>1.19673207</v>
      </c>
      <c r="H79" s="43">
        <v>0.128106639002482</v>
      </c>
      <c r="I79" s="43">
        <f>G79+H79</f>
        <v>1.32483870900248</v>
      </c>
    </row>
    <row r="80" ht="15.75" spans="1:9">
      <c r="A80" s="146"/>
      <c r="B80" s="83"/>
      <c r="C80" s="22"/>
      <c r="D80" s="13" t="s">
        <v>300</v>
      </c>
      <c r="E80" s="15">
        <v>6970</v>
      </c>
      <c r="F80" s="15" t="s">
        <v>29</v>
      </c>
      <c r="G80" s="43">
        <f t="shared" si="4"/>
        <v>0.4121361</v>
      </c>
      <c r="H80" s="71" t="s">
        <v>29</v>
      </c>
      <c r="I80" s="43">
        <f>G80</f>
        <v>0.4121361</v>
      </c>
    </row>
    <row r="81" ht="15.75" spans="1:9">
      <c r="A81" s="146"/>
      <c r="B81" s="83"/>
      <c r="C81" s="23"/>
      <c r="D81" s="13" t="s">
        <v>295</v>
      </c>
      <c r="E81" s="15">
        <v>13956</v>
      </c>
      <c r="F81" s="42">
        <v>5670</v>
      </c>
      <c r="G81" s="43">
        <f t="shared" si="4"/>
        <v>0.82521828</v>
      </c>
      <c r="H81" s="43">
        <v>0.088464475415027</v>
      </c>
      <c r="I81" s="43">
        <f>G81+H81</f>
        <v>0.913682755415027</v>
      </c>
    </row>
    <row r="82" ht="15.75" spans="1:9">
      <c r="A82" s="146"/>
      <c r="B82" s="84"/>
      <c r="C82" s="10" t="s">
        <v>60</v>
      </c>
      <c r="D82" s="13" t="s">
        <v>274</v>
      </c>
      <c r="E82" s="15">
        <v>6961</v>
      </c>
      <c r="F82" s="15" t="s">
        <v>29</v>
      </c>
      <c r="G82" s="43">
        <f t="shared" si="4"/>
        <v>0.41160393</v>
      </c>
      <c r="H82" s="15" t="s">
        <v>29</v>
      </c>
      <c r="I82" s="43">
        <f>G82</f>
        <v>0.41160393</v>
      </c>
    </row>
    <row r="83" ht="15.75" spans="1:9">
      <c r="A83" s="71">
        <v>4</v>
      </c>
      <c r="B83" s="70">
        <v>2011</v>
      </c>
      <c r="C83" s="11" t="s">
        <v>285</v>
      </c>
      <c r="D83" s="13" t="s">
        <v>297</v>
      </c>
      <c r="E83" s="15">
        <v>10427</v>
      </c>
      <c r="F83" s="42">
        <v>4467</v>
      </c>
      <c r="G83" s="43">
        <f t="shared" si="4"/>
        <v>0.61654851</v>
      </c>
      <c r="H83" s="43">
        <v>0.100951627</v>
      </c>
      <c r="I83" s="43">
        <f>G83+H84</f>
        <v>0.6907699095</v>
      </c>
    </row>
    <row r="84" ht="15.75" spans="1:9">
      <c r="A84" s="146"/>
      <c r="B84" s="83"/>
      <c r="C84" s="22"/>
      <c r="D84" s="13" t="s">
        <v>285</v>
      </c>
      <c r="E84" s="15">
        <v>25422</v>
      </c>
      <c r="F84" s="42">
        <v>4447</v>
      </c>
      <c r="G84" s="43">
        <f t="shared" si="4"/>
        <v>1.50320286</v>
      </c>
      <c r="H84" s="43">
        <v>0.0742213995</v>
      </c>
      <c r="I84" s="43">
        <f>G84+H85</f>
        <v>1.573718597</v>
      </c>
    </row>
    <row r="85" ht="15.75" spans="1:9">
      <c r="A85" s="146"/>
      <c r="B85" s="83"/>
      <c r="C85" s="22"/>
      <c r="D85" s="13" t="s">
        <v>300</v>
      </c>
      <c r="E85" s="15">
        <v>6805</v>
      </c>
      <c r="F85" s="42">
        <v>2999</v>
      </c>
      <c r="G85" s="43">
        <f t="shared" si="4"/>
        <v>0.40237965</v>
      </c>
      <c r="H85" s="43">
        <v>0.070515737</v>
      </c>
      <c r="I85" s="43">
        <f>G85+H85</f>
        <v>0.472895387</v>
      </c>
    </row>
    <row r="86" ht="15.75" spans="1:9">
      <c r="A86" s="146"/>
      <c r="B86" s="83"/>
      <c r="C86" s="22"/>
      <c r="D86" s="13" t="s">
        <v>294</v>
      </c>
      <c r="E86" s="15">
        <v>13846</v>
      </c>
      <c r="F86" s="15" t="s">
        <v>29</v>
      </c>
      <c r="G86" s="43">
        <f t="shared" si="4"/>
        <v>0.81871398</v>
      </c>
      <c r="H86" s="15" t="s">
        <v>29</v>
      </c>
      <c r="I86" s="43">
        <f>G86</f>
        <v>0.81871398</v>
      </c>
    </row>
    <row r="87" ht="15.75" spans="1:9">
      <c r="A87" s="146"/>
      <c r="B87" s="83"/>
      <c r="C87" s="23"/>
      <c r="D87" s="13" t="s">
        <v>295</v>
      </c>
      <c r="E87" s="15">
        <v>16613</v>
      </c>
      <c r="F87" s="42">
        <v>3867</v>
      </c>
      <c r="G87" s="43">
        <f t="shared" si="4"/>
        <v>0.98232669</v>
      </c>
      <c r="H87" s="43">
        <v>0.08521353875</v>
      </c>
      <c r="I87" s="43">
        <f t="shared" ref="I87:I94" si="6">G87+H88</f>
        <v>1.023183257</v>
      </c>
    </row>
    <row r="88" ht="15.75" spans="1:9">
      <c r="A88" s="146"/>
      <c r="B88" s="84"/>
      <c r="C88" s="10" t="s">
        <v>60</v>
      </c>
      <c r="D88" s="13" t="s">
        <v>274</v>
      </c>
      <c r="E88" s="15">
        <v>8208</v>
      </c>
      <c r="F88" s="42">
        <v>4293</v>
      </c>
      <c r="G88" s="43">
        <f t="shared" si="4"/>
        <v>0.48533904</v>
      </c>
      <c r="H88" s="43">
        <v>0.040856567</v>
      </c>
      <c r="I88" s="43">
        <f t="shared" si="6"/>
        <v>0.631365515535714</v>
      </c>
    </row>
    <row r="89" ht="15.75" spans="1:9">
      <c r="A89" s="96">
        <v>5</v>
      </c>
      <c r="B89" s="70">
        <v>2021</v>
      </c>
      <c r="C89" s="11" t="s">
        <v>285</v>
      </c>
      <c r="D89" s="13" t="s">
        <v>297</v>
      </c>
      <c r="E89" s="15">
        <v>13829</v>
      </c>
      <c r="F89" s="42">
        <v>7124</v>
      </c>
      <c r="G89" s="43">
        <f t="shared" si="4"/>
        <v>0.81770877</v>
      </c>
      <c r="H89" s="43">
        <v>0.146026475535714</v>
      </c>
      <c r="I89" s="43">
        <f t="shared" si="6"/>
        <v>0.854115303928571</v>
      </c>
    </row>
    <row r="90" ht="15.75" spans="1:9">
      <c r="A90" s="146"/>
      <c r="B90" s="83"/>
      <c r="C90" s="22"/>
      <c r="D90" s="13" t="s">
        <v>285</v>
      </c>
      <c r="E90" s="15">
        <v>30951</v>
      </c>
      <c r="F90" s="42">
        <v>5727</v>
      </c>
      <c r="G90" s="43">
        <f t="shared" si="4"/>
        <v>1.83013263</v>
      </c>
      <c r="H90" s="43">
        <v>0.0364065339285714</v>
      </c>
      <c r="I90" s="43">
        <f t="shared" si="6"/>
        <v>1.90064917</v>
      </c>
    </row>
    <row r="91" ht="19.5" customHeight="1" spans="1:9">
      <c r="A91" s="146"/>
      <c r="B91" s="83"/>
      <c r="C91" s="22"/>
      <c r="D91" s="13" t="s">
        <v>300</v>
      </c>
      <c r="E91" s="15">
        <v>6640</v>
      </c>
      <c r="F91" s="42">
        <v>3872</v>
      </c>
      <c r="G91" s="43">
        <f t="shared" si="4"/>
        <v>0.3926232</v>
      </c>
      <c r="H91" s="43">
        <v>0.07051654</v>
      </c>
      <c r="I91" s="43">
        <f t="shared" si="6"/>
        <v>0.447875609464286</v>
      </c>
    </row>
    <row r="92" ht="15.75" spans="1:9">
      <c r="A92" s="146"/>
      <c r="B92" s="83"/>
      <c r="C92" s="22"/>
      <c r="D92" s="13" t="s">
        <v>294</v>
      </c>
      <c r="E92" s="15">
        <v>15868</v>
      </c>
      <c r="F92" s="42">
        <v>5626</v>
      </c>
      <c r="G92" s="43">
        <f t="shared" si="4"/>
        <v>0.93827484</v>
      </c>
      <c r="H92" s="43">
        <v>0.0552524094642857</v>
      </c>
      <c r="I92" s="43">
        <f t="shared" si="6"/>
        <v>1.04576552803571</v>
      </c>
    </row>
    <row r="93" ht="15.75" spans="1:9">
      <c r="A93" s="146"/>
      <c r="B93" s="83"/>
      <c r="C93" s="23"/>
      <c r="D93" s="13" t="s">
        <v>295</v>
      </c>
      <c r="E93" s="15">
        <v>19364</v>
      </c>
      <c r="F93" s="42">
        <v>9385</v>
      </c>
      <c r="G93" s="43">
        <f t="shared" si="4"/>
        <v>1.14499332</v>
      </c>
      <c r="H93" s="43">
        <v>0.107490688035714</v>
      </c>
      <c r="I93" s="43">
        <f t="shared" si="6"/>
        <v>1.20444472857143</v>
      </c>
    </row>
    <row r="94" ht="15.75" spans="1:9">
      <c r="A94" s="146"/>
      <c r="B94" s="84"/>
      <c r="C94" s="10" t="s">
        <v>60</v>
      </c>
      <c r="D94" s="13" t="s">
        <v>274</v>
      </c>
      <c r="E94" s="15">
        <v>9455</v>
      </c>
      <c r="F94" s="42">
        <v>2157</v>
      </c>
      <c r="G94" s="43">
        <f t="shared" si="4"/>
        <v>0.55907415</v>
      </c>
      <c r="H94" s="43">
        <v>0.0594514085714286</v>
      </c>
      <c r="I94" s="43">
        <f t="shared" si="6"/>
        <v>0.55907415</v>
      </c>
    </row>
    <row r="96" ht="18.75" spans="1:9">
      <c r="A96" s="39" t="s">
        <v>102</v>
      </c>
      <c r="B96" s="31"/>
      <c r="C96" s="31"/>
      <c r="D96" s="31"/>
      <c r="E96" s="31"/>
      <c r="F96" s="31"/>
      <c r="G96" s="31"/>
      <c r="H96" s="31"/>
      <c r="I96" s="31"/>
    </row>
    <row r="97" ht="15.75" spans="1:9">
      <c r="A97" s="4" t="s">
        <v>7</v>
      </c>
      <c r="B97" s="4"/>
      <c r="C97" s="4"/>
      <c r="D97" s="4"/>
      <c r="E97" s="4"/>
      <c r="F97" s="40" t="s">
        <v>8</v>
      </c>
      <c r="G97" s="40"/>
      <c r="H97" s="40"/>
      <c r="I97" s="40"/>
    </row>
    <row r="98" ht="47.25" spans="1:9">
      <c r="A98" s="9" t="s">
        <v>103</v>
      </c>
      <c r="B98" s="10" t="s">
        <v>104</v>
      </c>
      <c r="C98" s="9" t="s">
        <v>11</v>
      </c>
      <c r="D98" s="9" t="s">
        <v>12</v>
      </c>
      <c r="E98" s="10" t="s">
        <v>13</v>
      </c>
      <c r="F98" s="10" t="s">
        <v>84</v>
      </c>
      <c r="G98" s="10" t="s">
        <v>15</v>
      </c>
      <c r="H98" s="10" t="s">
        <v>16</v>
      </c>
      <c r="I98" s="10" t="s">
        <v>17</v>
      </c>
    </row>
    <row r="99" ht="15" spans="1:9">
      <c r="A99" s="147" t="s">
        <v>18</v>
      </c>
      <c r="B99" s="91" t="s">
        <v>19</v>
      </c>
      <c r="C99" s="147" t="s">
        <v>20</v>
      </c>
      <c r="D99" s="88" t="s">
        <v>21</v>
      </c>
      <c r="E99" s="88" t="s">
        <v>22</v>
      </c>
      <c r="F99" s="88" t="s">
        <v>23</v>
      </c>
      <c r="G99" s="88" t="s">
        <v>24</v>
      </c>
      <c r="H99" s="88" t="s">
        <v>25</v>
      </c>
      <c r="I99" s="88" t="s">
        <v>26</v>
      </c>
    </row>
    <row r="100" ht="15.75" spans="1:9">
      <c r="A100" s="71">
        <v>1</v>
      </c>
      <c r="B100" s="70">
        <v>2025</v>
      </c>
      <c r="C100" s="11" t="s">
        <v>285</v>
      </c>
      <c r="D100" s="13" t="s">
        <v>297</v>
      </c>
      <c r="E100" s="42">
        <v>169972</v>
      </c>
      <c r="F100" s="42">
        <v>296290</v>
      </c>
      <c r="G100" s="43">
        <f t="shared" ref="G100:G123" si="7">E100*(65.19*365)/POWER(10,9)</f>
        <v>4.0443732582</v>
      </c>
      <c r="H100" s="43">
        <v>5.70252753274152</v>
      </c>
      <c r="I100" s="43">
        <f t="shared" ref="I100:I123" si="8">G100+H100</f>
        <v>9.74690079094152</v>
      </c>
    </row>
    <row r="101" ht="15.75" spans="1:9">
      <c r="A101" s="71"/>
      <c r="B101" s="83"/>
      <c r="C101" s="22"/>
      <c r="D101" s="13" t="s">
        <v>298</v>
      </c>
      <c r="E101" s="42">
        <v>46283</v>
      </c>
      <c r="F101" s="42">
        <v>72790</v>
      </c>
      <c r="G101" s="43">
        <f t="shared" si="7"/>
        <v>1.10127390105</v>
      </c>
      <c r="H101" s="43">
        <v>1.06428180573342</v>
      </c>
      <c r="I101" s="43">
        <f t="shared" si="8"/>
        <v>2.16555570678342</v>
      </c>
    </row>
    <row r="102" ht="15.75" spans="1:9">
      <c r="A102" s="71"/>
      <c r="B102" s="83"/>
      <c r="C102" s="22"/>
      <c r="D102" s="13" t="s">
        <v>285</v>
      </c>
      <c r="E102" s="42">
        <v>5856</v>
      </c>
      <c r="F102" s="42">
        <v>9035</v>
      </c>
      <c r="G102" s="43">
        <f t="shared" si="7"/>
        <v>0.1393397136</v>
      </c>
      <c r="H102" s="43">
        <v>0.116376800620034</v>
      </c>
      <c r="I102" s="43">
        <f t="shared" si="8"/>
        <v>0.255716514220034</v>
      </c>
    </row>
    <row r="103" ht="15.75" spans="1:9">
      <c r="A103" s="71"/>
      <c r="B103" s="83"/>
      <c r="C103" s="22"/>
      <c r="D103" s="13" t="s">
        <v>293</v>
      </c>
      <c r="E103" s="42">
        <v>71382</v>
      </c>
      <c r="F103" s="42">
        <v>150836</v>
      </c>
      <c r="G103" s="43">
        <f t="shared" si="7"/>
        <v>1.6984882917</v>
      </c>
      <c r="H103" s="43">
        <v>1.996144485</v>
      </c>
      <c r="I103" s="43">
        <f t="shared" si="8"/>
        <v>3.6946327767</v>
      </c>
    </row>
    <row r="104" ht="15.75" spans="1:9">
      <c r="A104" s="71"/>
      <c r="B104" s="83"/>
      <c r="C104" s="22"/>
      <c r="D104" s="13" t="s">
        <v>294</v>
      </c>
      <c r="E104" s="42">
        <v>73264</v>
      </c>
      <c r="F104" s="42">
        <v>221441</v>
      </c>
      <c r="G104" s="43">
        <f t="shared" si="7"/>
        <v>1.7432692584</v>
      </c>
      <c r="H104" s="43">
        <v>2.22243040642857</v>
      </c>
      <c r="I104" s="43">
        <f t="shared" si="8"/>
        <v>3.96569966482857</v>
      </c>
    </row>
    <row r="105" ht="15.75" spans="1:9">
      <c r="A105" s="71"/>
      <c r="B105" s="83"/>
      <c r="C105" s="22"/>
      <c r="D105" s="13" t="s">
        <v>292</v>
      </c>
      <c r="E105" s="42">
        <v>35913</v>
      </c>
      <c r="F105" s="42">
        <v>19215</v>
      </c>
      <c r="G105" s="43">
        <f t="shared" si="7"/>
        <v>0.85452649155</v>
      </c>
      <c r="H105" s="43">
        <v>0.366288448750527</v>
      </c>
      <c r="I105" s="43">
        <f t="shared" si="8"/>
        <v>1.22081494030053</v>
      </c>
    </row>
    <row r="106" ht="15.75" spans="1:9">
      <c r="A106" s="71"/>
      <c r="B106" s="83"/>
      <c r="C106" s="22"/>
      <c r="D106" s="13" t="s">
        <v>296</v>
      </c>
      <c r="E106" s="42">
        <v>103142</v>
      </c>
      <c r="F106" s="42">
        <v>230642</v>
      </c>
      <c r="G106" s="43">
        <f t="shared" si="7"/>
        <v>2.4541968477</v>
      </c>
      <c r="H106" s="43">
        <v>2.61746547428571</v>
      </c>
      <c r="I106" s="43">
        <f t="shared" si="8"/>
        <v>5.07166232198571</v>
      </c>
    </row>
    <row r="107" ht="15.75" spans="1:9">
      <c r="A107" s="71"/>
      <c r="B107" s="83"/>
      <c r="C107" s="23"/>
      <c r="D107" s="13" t="s">
        <v>295</v>
      </c>
      <c r="E107" s="42">
        <v>100146</v>
      </c>
      <c r="F107" s="42">
        <v>224335</v>
      </c>
      <c r="G107" s="43">
        <f t="shared" si="7"/>
        <v>2.3829089751</v>
      </c>
      <c r="H107" s="43">
        <v>2.16486005747714</v>
      </c>
      <c r="I107" s="43">
        <f t="shared" si="8"/>
        <v>4.54776903257714</v>
      </c>
    </row>
    <row r="108" ht="15.75" spans="1:9">
      <c r="A108" s="71"/>
      <c r="B108" s="83"/>
      <c r="C108" s="11" t="s">
        <v>60</v>
      </c>
      <c r="D108" s="13" t="s">
        <v>274</v>
      </c>
      <c r="E108" s="42">
        <v>104573</v>
      </c>
      <c r="F108" s="42">
        <v>72551</v>
      </c>
      <c r="G108" s="43">
        <f t="shared" si="7"/>
        <v>2.48824656255</v>
      </c>
      <c r="H108" s="43">
        <v>1.59977653245153</v>
      </c>
      <c r="I108" s="43">
        <f t="shared" si="8"/>
        <v>4.08802309500153</v>
      </c>
    </row>
    <row r="109" ht="15.75" spans="1:9">
      <c r="A109" s="71"/>
      <c r="B109" s="83"/>
      <c r="C109" s="23"/>
      <c r="D109" s="13" t="s">
        <v>299</v>
      </c>
      <c r="E109" s="42">
        <v>4056</v>
      </c>
      <c r="F109" s="42">
        <v>997</v>
      </c>
      <c r="G109" s="43">
        <f t="shared" si="7"/>
        <v>0.0965098836</v>
      </c>
      <c r="H109" s="43">
        <v>0.0320722874940857</v>
      </c>
      <c r="I109" s="43">
        <f t="shared" si="8"/>
        <v>0.128582171094086</v>
      </c>
    </row>
    <row r="110" ht="15.75" spans="1:9">
      <c r="A110" s="71"/>
      <c r="B110" s="83"/>
      <c r="C110" s="11" t="s">
        <v>245</v>
      </c>
      <c r="D110" s="13" t="s">
        <v>280</v>
      </c>
      <c r="E110" s="14">
        <v>414</v>
      </c>
      <c r="F110" s="42">
        <v>1172</v>
      </c>
      <c r="G110" s="16">
        <f t="shared" si="7"/>
        <v>0.0098508609</v>
      </c>
      <c r="H110" s="43">
        <v>0.0148197035197714</v>
      </c>
      <c r="I110" s="43">
        <f t="shared" si="8"/>
        <v>0.0246705644197714</v>
      </c>
    </row>
    <row r="111" ht="15.75" spans="1:9">
      <c r="A111" s="71"/>
      <c r="B111" s="84"/>
      <c r="C111" s="23"/>
      <c r="D111" s="13" t="s">
        <v>282</v>
      </c>
      <c r="E111" s="42">
        <v>35386</v>
      </c>
      <c r="F111" s="42">
        <v>31870</v>
      </c>
      <c r="G111" s="43">
        <f t="shared" si="7"/>
        <v>0.8419868691</v>
      </c>
      <c r="H111" s="43">
        <v>0.772527839444214</v>
      </c>
      <c r="I111" s="43">
        <f t="shared" si="8"/>
        <v>1.61451470854421</v>
      </c>
    </row>
    <row r="112" ht="15.75" spans="1:9">
      <c r="A112" s="71">
        <v>2</v>
      </c>
      <c r="B112" s="70">
        <v>2050</v>
      </c>
      <c r="C112" s="11" t="s">
        <v>285</v>
      </c>
      <c r="D112" s="13" t="s">
        <v>297</v>
      </c>
      <c r="E112" s="42">
        <v>118146</v>
      </c>
      <c r="F112" s="42">
        <v>548178</v>
      </c>
      <c r="G112" s="43">
        <f t="shared" si="7"/>
        <v>2.8112072751</v>
      </c>
      <c r="H112" s="43">
        <v>9.84045818916349</v>
      </c>
      <c r="I112" s="43">
        <f t="shared" si="8"/>
        <v>12.6516654642635</v>
      </c>
    </row>
    <row r="113" ht="15.75" spans="1:9">
      <c r="A113" s="71"/>
      <c r="B113" s="83"/>
      <c r="C113" s="22"/>
      <c r="D113" s="13" t="s">
        <v>298</v>
      </c>
      <c r="E113" s="42">
        <v>32171</v>
      </c>
      <c r="F113" s="42">
        <v>77376</v>
      </c>
      <c r="G113" s="43">
        <f t="shared" si="7"/>
        <v>0.76548803385</v>
      </c>
      <c r="H113" s="43">
        <v>1.27765058992441</v>
      </c>
      <c r="I113" s="43">
        <f t="shared" si="8"/>
        <v>2.04313862377441</v>
      </c>
    </row>
    <row r="114" ht="15.75" spans="1:9">
      <c r="A114" s="71"/>
      <c r="B114" s="83"/>
      <c r="C114" s="22"/>
      <c r="D114" s="13" t="s">
        <v>285</v>
      </c>
      <c r="E114" s="42">
        <v>4071</v>
      </c>
      <c r="F114" s="42">
        <v>12696</v>
      </c>
      <c r="G114" s="43">
        <f t="shared" si="7"/>
        <v>0.09686679885</v>
      </c>
      <c r="H114" s="43">
        <v>0.0768085022508821</v>
      </c>
      <c r="I114" s="43">
        <f t="shared" si="8"/>
        <v>0.173675301100882</v>
      </c>
    </row>
    <row r="115" ht="19.5" customHeight="1" spans="1:9">
      <c r="A115" s="71"/>
      <c r="B115" s="83"/>
      <c r="C115" s="22"/>
      <c r="D115" s="13" t="s">
        <v>293</v>
      </c>
      <c r="E115" s="42">
        <v>49617</v>
      </c>
      <c r="F115" s="42">
        <v>239722</v>
      </c>
      <c r="G115" s="43">
        <f t="shared" si="7"/>
        <v>1.18060426395</v>
      </c>
      <c r="H115" s="43">
        <v>2.48910436</v>
      </c>
      <c r="I115" s="43">
        <f t="shared" si="8"/>
        <v>3.66970862395</v>
      </c>
    </row>
    <row r="116" ht="19.5" customHeight="1" spans="1:9">
      <c r="A116" s="71"/>
      <c r="B116" s="83"/>
      <c r="C116" s="22"/>
      <c r="D116" s="13" t="s">
        <v>294</v>
      </c>
      <c r="E116" s="42">
        <v>50925</v>
      </c>
      <c r="F116" s="42">
        <v>393997</v>
      </c>
      <c r="G116" s="43">
        <f t="shared" si="7"/>
        <v>1.21172727375</v>
      </c>
      <c r="H116" s="43">
        <v>2.48256883946429</v>
      </c>
      <c r="I116" s="43">
        <f t="shared" si="8"/>
        <v>3.69429611321429</v>
      </c>
    </row>
    <row r="117" ht="19.5" customHeight="1" spans="1:9">
      <c r="A117" s="71"/>
      <c r="B117" s="83"/>
      <c r="C117" s="22"/>
      <c r="D117" s="13" t="s">
        <v>292</v>
      </c>
      <c r="E117" s="42">
        <v>24963</v>
      </c>
      <c r="F117" s="42">
        <v>9774</v>
      </c>
      <c r="G117" s="43">
        <f t="shared" si="7"/>
        <v>0.59397835905</v>
      </c>
      <c r="H117" s="43">
        <v>0.0777936862009018</v>
      </c>
      <c r="I117" s="43">
        <f t="shared" si="8"/>
        <v>0.671772045250902</v>
      </c>
    </row>
    <row r="118" ht="19.5" customHeight="1" spans="1:9">
      <c r="A118" s="71"/>
      <c r="B118" s="83"/>
      <c r="C118" s="22"/>
      <c r="D118" s="13" t="s">
        <v>296</v>
      </c>
      <c r="E118" s="42">
        <v>71694</v>
      </c>
      <c r="F118" s="42">
        <v>347637</v>
      </c>
      <c r="G118" s="43">
        <f t="shared" si="7"/>
        <v>1.7059121289</v>
      </c>
      <c r="H118" s="43">
        <v>2.30176967428571</v>
      </c>
      <c r="I118" s="43">
        <f t="shared" si="8"/>
        <v>4.00768180318571</v>
      </c>
    </row>
    <row r="119" ht="19.5" customHeight="1" spans="1:9">
      <c r="A119" s="71"/>
      <c r="B119" s="83"/>
      <c r="C119" s="23"/>
      <c r="D119" s="13" t="s">
        <v>295</v>
      </c>
      <c r="E119" s="42">
        <v>69611</v>
      </c>
      <c r="F119" s="42">
        <v>318404</v>
      </c>
      <c r="G119" s="43">
        <f t="shared" si="7"/>
        <v>1.65634849785</v>
      </c>
      <c r="H119" s="43">
        <v>1.01637278349924</v>
      </c>
      <c r="I119" s="43">
        <f t="shared" si="8"/>
        <v>2.67272128134924</v>
      </c>
    </row>
    <row r="120" ht="17.25" customHeight="1" spans="1:9">
      <c r="A120" s="71"/>
      <c r="B120" s="83"/>
      <c r="C120" s="11" t="s">
        <v>60</v>
      </c>
      <c r="D120" s="13" t="s">
        <v>274</v>
      </c>
      <c r="E120" s="42">
        <v>157227</v>
      </c>
      <c r="F120" s="42">
        <v>91750</v>
      </c>
      <c r="G120" s="43">
        <f t="shared" si="7"/>
        <v>3.74111426745</v>
      </c>
      <c r="H120" s="43">
        <v>1.79843364655209</v>
      </c>
      <c r="I120" s="43">
        <f t="shared" si="8"/>
        <v>5.53954791400209</v>
      </c>
    </row>
    <row r="121" ht="17.25" customHeight="1" spans="1:9">
      <c r="A121" s="71"/>
      <c r="B121" s="83"/>
      <c r="C121" s="23"/>
      <c r="D121" s="13" t="s">
        <v>299</v>
      </c>
      <c r="E121" s="42">
        <v>6099</v>
      </c>
      <c r="F121" s="42">
        <v>329</v>
      </c>
      <c r="G121" s="43">
        <f t="shared" si="7"/>
        <v>0.14512174065</v>
      </c>
      <c r="H121" s="43">
        <v>0.0132</v>
      </c>
      <c r="I121" s="43">
        <f t="shared" si="8"/>
        <v>0.15832174065</v>
      </c>
    </row>
    <row r="122" ht="17.25" customHeight="1" spans="1:9">
      <c r="A122" s="71"/>
      <c r="B122" s="83"/>
      <c r="C122" s="11" t="s">
        <v>245</v>
      </c>
      <c r="D122" s="13" t="s">
        <v>280</v>
      </c>
      <c r="E122" s="42">
        <v>453</v>
      </c>
      <c r="F122" s="42">
        <v>2389</v>
      </c>
      <c r="G122" s="43">
        <f t="shared" si="7"/>
        <v>0.01077884055</v>
      </c>
      <c r="H122" s="43">
        <v>0.0231815168985214</v>
      </c>
      <c r="I122" s="43">
        <f t="shared" si="8"/>
        <v>0.0339603574485214</v>
      </c>
    </row>
    <row r="123" ht="17.25" customHeight="1" spans="1:9">
      <c r="A123" s="71"/>
      <c r="B123" s="84"/>
      <c r="C123" s="23"/>
      <c r="D123" s="13" t="s">
        <v>282</v>
      </c>
      <c r="E123" s="42">
        <v>38681</v>
      </c>
      <c r="F123" s="42">
        <v>18708</v>
      </c>
      <c r="G123" s="43">
        <f t="shared" si="7"/>
        <v>0.92038925235</v>
      </c>
      <c r="H123" s="43">
        <v>0.367770426118143</v>
      </c>
      <c r="I123" s="43">
        <f t="shared" si="8"/>
        <v>1.28815967846814</v>
      </c>
    </row>
    <row r="124" ht="17.25" customHeight="1"/>
    <row r="125" ht="17.25" customHeight="1" spans="1:9">
      <c r="A125" s="4" t="s">
        <v>105</v>
      </c>
      <c r="B125" s="4"/>
      <c r="C125" s="4"/>
      <c r="D125" s="32"/>
      <c r="E125" s="144" t="s">
        <v>8</v>
      </c>
      <c r="F125" s="144"/>
      <c r="G125" s="144"/>
      <c r="H125" s="144"/>
      <c r="I125" s="144"/>
    </row>
    <row r="126" ht="17.25" customHeight="1" spans="1:9">
      <c r="A126" s="35" t="s">
        <v>103</v>
      </c>
      <c r="B126" s="35" t="s">
        <v>104</v>
      </c>
      <c r="C126" s="35" t="s">
        <v>11</v>
      </c>
      <c r="D126" s="35" t="s">
        <v>106</v>
      </c>
      <c r="E126" s="35" t="s">
        <v>13</v>
      </c>
      <c r="F126" s="35" t="s">
        <v>84</v>
      </c>
      <c r="G126" s="35" t="s">
        <v>15</v>
      </c>
      <c r="H126" s="35" t="s">
        <v>16</v>
      </c>
      <c r="I126" s="35" t="s">
        <v>17</v>
      </c>
    </row>
    <row r="127" ht="17.25" customHeight="1" spans="1:9">
      <c r="A127" s="12" t="s">
        <v>18</v>
      </c>
      <c r="B127" s="11" t="s">
        <v>19</v>
      </c>
      <c r="C127" s="12" t="s">
        <v>20</v>
      </c>
      <c r="D127" s="11" t="s">
        <v>21</v>
      </c>
      <c r="E127" s="11" t="s">
        <v>22</v>
      </c>
      <c r="F127" s="11" t="s">
        <v>23</v>
      </c>
      <c r="G127" s="11" t="s">
        <v>24</v>
      </c>
      <c r="H127" s="11" t="s">
        <v>25</v>
      </c>
      <c r="I127" s="11" t="s">
        <v>26</v>
      </c>
    </row>
    <row r="128" ht="17.25" customHeight="1" spans="1:9">
      <c r="A128" s="71">
        <v>1</v>
      </c>
      <c r="B128" s="70">
        <v>2025</v>
      </c>
      <c r="C128" s="11" t="s">
        <v>285</v>
      </c>
      <c r="D128" s="13" t="s">
        <v>297</v>
      </c>
      <c r="E128" s="19">
        <v>15190</v>
      </c>
      <c r="F128" s="19">
        <v>7809</v>
      </c>
      <c r="G128" s="43">
        <f t="shared" ref="G128:G139" si="9">E128*(162*365)/POWER(10,9)</f>
        <v>0.8981847</v>
      </c>
      <c r="H128" s="20">
        <v>0.154865419821429</v>
      </c>
      <c r="I128" s="148">
        <f t="shared" ref="I128:I139" si="10">G128+H128</f>
        <v>1.05305011982143</v>
      </c>
    </row>
    <row r="129" ht="15.75" spans="1:9">
      <c r="A129" s="71"/>
      <c r="B129" s="83"/>
      <c r="C129" s="22"/>
      <c r="D129" s="13" t="s">
        <v>285</v>
      </c>
      <c r="E129" s="19">
        <v>33377</v>
      </c>
      <c r="F129" s="19">
        <v>6251</v>
      </c>
      <c r="G129" s="43">
        <f t="shared" si="9"/>
        <v>1.97358201</v>
      </c>
      <c r="H129" s="20">
        <v>0.0206965167857143</v>
      </c>
      <c r="I129" s="148">
        <f t="shared" si="10"/>
        <v>1.99427852678571</v>
      </c>
    </row>
    <row r="130" ht="15.75" spans="1:9">
      <c r="A130" s="71"/>
      <c r="B130" s="83"/>
      <c r="C130" s="22"/>
      <c r="D130" s="13" t="s">
        <v>300</v>
      </c>
      <c r="E130" s="19">
        <v>6574</v>
      </c>
      <c r="F130" s="19">
        <v>3927</v>
      </c>
      <c r="G130" s="43">
        <f t="shared" si="9"/>
        <v>0.38872062</v>
      </c>
      <c r="H130" s="20">
        <v>0.062681815</v>
      </c>
      <c r="I130" s="148">
        <f t="shared" si="10"/>
        <v>0.451402435</v>
      </c>
    </row>
    <row r="131" ht="15.75" spans="1:9">
      <c r="A131" s="71"/>
      <c r="B131" s="83"/>
      <c r="C131" s="22"/>
      <c r="D131" s="13" t="s">
        <v>294</v>
      </c>
      <c r="E131" s="19">
        <v>16676</v>
      </c>
      <c r="F131" s="19">
        <v>8126</v>
      </c>
      <c r="G131" s="43">
        <f t="shared" si="9"/>
        <v>0.98605188</v>
      </c>
      <c r="H131" s="20">
        <v>0.0798090358928571</v>
      </c>
      <c r="I131" s="148">
        <f t="shared" si="10"/>
        <v>1.06586091589286</v>
      </c>
    </row>
    <row r="132" ht="15" customHeight="1" spans="1:9">
      <c r="A132" s="71"/>
      <c r="B132" s="83"/>
      <c r="C132" s="23"/>
      <c r="D132" s="13" t="s">
        <v>295</v>
      </c>
      <c r="E132" s="19">
        <v>20436</v>
      </c>
      <c r="F132" s="19">
        <v>12047</v>
      </c>
      <c r="G132" s="43">
        <f t="shared" si="9"/>
        <v>1.20838068</v>
      </c>
      <c r="H132" s="20">
        <v>0.121964710892857</v>
      </c>
      <c r="I132" s="148">
        <f t="shared" si="10"/>
        <v>1.33034539089286</v>
      </c>
    </row>
    <row r="133" ht="15" customHeight="1" spans="1:9">
      <c r="A133" s="71"/>
      <c r="B133" s="84"/>
      <c r="C133" s="10" t="s">
        <v>60</v>
      </c>
      <c r="D133" s="149" t="s">
        <v>274</v>
      </c>
      <c r="E133" s="10">
        <v>9954</v>
      </c>
      <c r="F133" s="19">
        <v>2316</v>
      </c>
      <c r="G133" s="43">
        <f t="shared" si="9"/>
        <v>0.58858002</v>
      </c>
      <c r="H133" s="20">
        <v>0.0633208257142857</v>
      </c>
      <c r="I133" s="148">
        <f t="shared" si="10"/>
        <v>0.651900845714286</v>
      </c>
    </row>
    <row r="134" ht="15" customHeight="1" spans="1:9">
      <c r="A134" s="71">
        <v>2</v>
      </c>
      <c r="B134" s="70">
        <v>2050</v>
      </c>
      <c r="C134" s="11" t="s">
        <v>285</v>
      </c>
      <c r="D134" s="13" t="s">
        <v>297</v>
      </c>
      <c r="E134" s="15">
        <v>23695</v>
      </c>
      <c r="F134" s="19">
        <v>14016</v>
      </c>
      <c r="G134" s="43">
        <f t="shared" si="9"/>
        <v>1.40108535</v>
      </c>
      <c r="H134" s="20">
        <v>0.210237497142857</v>
      </c>
      <c r="I134" s="148">
        <f t="shared" si="10"/>
        <v>1.61132284714286</v>
      </c>
    </row>
    <row r="135" ht="15.75" spans="1:9">
      <c r="A135" s="71"/>
      <c r="B135" s="83"/>
      <c r="C135" s="22"/>
      <c r="D135" s="13" t="s">
        <v>285</v>
      </c>
      <c r="E135" s="15">
        <v>51329</v>
      </c>
      <c r="F135" s="19">
        <v>11705</v>
      </c>
      <c r="G135" s="43">
        <f t="shared" si="9"/>
        <v>3.03508377</v>
      </c>
      <c r="H135" s="20">
        <v>0.00387158107142857</v>
      </c>
      <c r="I135" s="148">
        <f t="shared" si="10"/>
        <v>3.03895535107143</v>
      </c>
    </row>
    <row r="136" ht="15.75" spans="1:9">
      <c r="A136" s="71"/>
      <c r="B136" s="83"/>
      <c r="C136" s="22"/>
      <c r="D136" s="13" t="s">
        <v>300</v>
      </c>
      <c r="E136" s="15">
        <v>6162</v>
      </c>
      <c r="F136" s="19">
        <v>4890</v>
      </c>
      <c r="G136" s="43">
        <f t="shared" si="9"/>
        <v>0.36435906</v>
      </c>
      <c r="H136" s="20">
        <v>0.0386192551785714</v>
      </c>
      <c r="I136" s="148">
        <f t="shared" si="10"/>
        <v>0.402978315178571</v>
      </c>
    </row>
    <row r="137" ht="16.5" customHeight="1" spans="1:9">
      <c r="A137" s="71"/>
      <c r="B137" s="83"/>
      <c r="C137" s="22"/>
      <c r="D137" s="13" t="s">
        <v>294</v>
      </c>
      <c r="E137" s="15">
        <v>21730</v>
      </c>
      <c r="F137" s="19">
        <v>23755</v>
      </c>
      <c r="G137" s="43">
        <f t="shared" si="9"/>
        <v>1.2848949</v>
      </c>
      <c r="H137" s="20">
        <v>0.233287951071429</v>
      </c>
      <c r="I137" s="148">
        <f t="shared" si="10"/>
        <v>1.51818285107143</v>
      </c>
    </row>
    <row r="138" ht="16.5" customHeight="1" spans="1:9">
      <c r="A138" s="71"/>
      <c r="B138" s="83"/>
      <c r="C138" s="23"/>
      <c r="D138" s="13" t="s">
        <v>295</v>
      </c>
      <c r="E138" s="15">
        <v>26773</v>
      </c>
      <c r="F138" s="19">
        <v>28758</v>
      </c>
      <c r="G138" s="43">
        <f t="shared" si="9"/>
        <v>1.58308749</v>
      </c>
      <c r="H138" s="20">
        <v>0.215366907321429</v>
      </c>
      <c r="I138" s="148">
        <f t="shared" si="10"/>
        <v>1.79845439732143</v>
      </c>
    </row>
    <row r="139" ht="16.5" customHeight="1" spans="1:9">
      <c r="A139" s="71"/>
      <c r="B139" s="84"/>
      <c r="C139" s="10" t="s">
        <v>60</v>
      </c>
      <c r="D139" s="149" t="s">
        <v>274</v>
      </c>
      <c r="E139" s="19">
        <v>13071</v>
      </c>
      <c r="F139" s="19">
        <v>3313</v>
      </c>
      <c r="G139" s="43">
        <f t="shared" si="9"/>
        <v>0.77288823</v>
      </c>
      <c r="H139" s="20">
        <v>0.08758029</v>
      </c>
      <c r="I139" s="148">
        <f t="shared" si="10"/>
        <v>0.86046852</v>
      </c>
    </row>
    <row r="140" ht="16.5" customHeight="1"/>
    <row r="141" ht="33" customHeight="1" spans="1:9">
      <c r="A141" s="45" t="s">
        <v>108</v>
      </c>
      <c r="B141" s="7" t="s">
        <v>109</v>
      </c>
      <c r="C141" s="46"/>
      <c r="D141" s="46"/>
      <c r="E141" s="46"/>
      <c r="F141" s="46"/>
      <c r="G141" s="46"/>
      <c r="H141" s="46"/>
      <c r="I141" s="46"/>
    </row>
    <row r="142" ht="26.4" customHeight="1" spans="1:9">
      <c r="A142" s="46"/>
      <c r="B142" s="7" t="s">
        <v>110</v>
      </c>
      <c r="C142" s="47"/>
      <c r="D142" s="47"/>
      <c r="E142" s="47"/>
      <c r="F142" s="47"/>
      <c r="G142" s="47"/>
      <c r="H142" s="47"/>
      <c r="I142" s="47"/>
    </row>
    <row r="143" ht="15.75" spans="1:9">
      <c r="A143" s="150"/>
      <c r="B143" s="150"/>
      <c r="C143" s="150"/>
      <c r="D143" s="150"/>
      <c r="E143" s="150"/>
      <c r="F143" s="150"/>
      <c r="G143" s="150"/>
      <c r="H143" s="150"/>
      <c r="I143" s="150"/>
    </row>
    <row r="144" spans="2:2">
      <c r="B144" s="48" t="s">
        <v>111</v>
      </c>
    </row>
    <row r="145" s="2" customFormat="1" ht="15" customHeight="1" spans="2:2">
      <c r="B145" s="49" t="s">
        <v>112</v>
      </c>
    </row>
    <row r="146" s="2" customFormat="1" ht="15" customHeight="1" spans="2:2">
      <c r="B146" s="50" t="s">
        <v>113</v>
      </c>
    </row>
    <row r="147" s="2" customFormat="1" ht="15" customHeight="1" spans="2:2">
      <c r="B147" s="50" t="s">
        <v>114</v>
      </c>
    </row>
    <row r="148" s="2" customFormat="1" spans="2:2">
      <c r="B148" s="51"/>
    </row>
    <row r="149" s="2" customFormat="1" spans="2:2">
      <c r="B149" s="49" t="s">
        <v>115</v>
      </c>
    </row>
    <row r="150" s="2" customFormat="1" ht="16.5" customHeight="1" spans="2:2">
      <c r="B150" s="50" t="s">
        <v>116</v>
      </c>
    </row>
    <row r="151" s="2" customFormat="1" ht="16.5" customHeight="1" spans="2:2">
      <c r="B151" s="50" t="s">
        <v>117</v>
      </c>
    </row>
    <row r="152" spans="2:2">
      <c r="B152" s="55"/>
    </row>
    <row r="153" spans="2:2">
      <c r="B153" s="49" t="s">
        <v>118</v>
      </c>
    </row>
    <row r="154" ht="13.95" customHeight="1" spans="2:2">
      <c r="B154" s="56" t="s">
        <v>119</v>
      </c>
    </row>
    <row r="155" ht="13.95" customHeight="1" spans="2:2">
      <c r="B155" s="56" t="s">
        <v>120</v>
      </c>
    </row>
    <row r="156" ht="13.95" customHeight="1" spans="2:2">
      <c r="B156" s="56" t="s">
        <v>121</v>
      </c>
    </row>
    <row r="157" ht="13.95" customHeight="1" spans="2:2">
      <c r="B157" s="56" t="s">
        <v>122</v>
      </c>
    </row>
    <row r="158" spans="2:2">
      <c r="B158" s="49" t="s">
        <v>123</v>
      </c>
    </row>
    <row r="159" spans="2:2">
      <c r="B159" s="49" t="s">
        <v>124</v>
      </c>
    </row>
    <row r="160" spans="2:2">
      <c r="B160" s="56" t="s">
        <v>125</v>
      </c>
    </row>
    <row r="161" spans="2:2">
      <c r="B161" s="56" t="s">
        <v>126</v>
      </c>
    </row>
    <row r="162" spans="2:2">
      <c r="B162" s="56" t="s">
        <v>127</v>
      </c>
    </row>
    <row r="163" spans="2:2">
      <c r="B163" s="56" t="s">
        <v>128</v>
      </c>
    </row>
    <row r="164" spans="2:2">
      <c r="B164" s="56" t="s">
        <v>129</v>
      </c>
    </row>
    <row r="165" spans="2:2">
      <c r="B165" s="56"/>
    </row>
    <row r="166" spans="2:2">
      <c r="B166" s="49" t="s">
        <v>130</v>
      </c>
    </row>
    <row r="167" ht="15.75" spans="2:2">
      <c r="B167" s="57"/>
    </row>
    <row r="168" spans="2:2">
      <c r="B168" s="58" t="s">
        <v>131</v>
      </c>
    </row>
    <row r="169" spans="2:2">
      <c r="B169" s="58" t="s">
        <v>132</v>
      </c>
    </row>
    <row r="170" spans="2:2">
      <c r="B170" s="59" t="s">
        <v>133</v>
      </c>
    </row>
    <row r="171" spans="2:2">
      <c r="B171" s="60"/>
    </row>
    <row r="173" ht="33" customHeight="1" spans="2:9">
      <c r="B173" s="119" t="s">
        <v>301</v>
      </c>
      <c r="C173" s="119"/>
      <c r="D173" s="119"/>
      <c r="E173" s="119"/>
      <c r="F173" s="119"/>
      <c r="G173" s="119"/>
      <c r="H173" s="119"/>
      <c r="I173" s="119"/>
    </row>
  </sheetData>
  <mergeCells count="69">
    <mergeCell ref="A2:I2"/>
    <mergeCell ref="A3:I3"/>
    <mergeCell ref="A4:I4"/>
    <mergeCell ref="A5:I5"/>
    <mergeCell ref="A6:I6"/>
    <mergeCell ref="A7:E7"/>
    <mergeCell ref="G7:I7"/>
    <mergeCell ref="E71:I71"/>
    <mergeCell ref="A96:I96"/>
    <mergeCell ref="F97:I97"/>
    <mergeCell ref="E125:I125"/>
    <mergeCell ref="B141:I141"/>
    <mergeCell ref="B142:I142"/>
    <mergeCell ref="A143:I143"/>
    <mergeCell ref="B173:I173"/>
    <mergeCell ref="A10:A21"/>
    <mergeCell ref="A22:A33"/>
    <mergeCell ref="A34:A45"/>
    <mergeCell ref="A46:A57"/>
    <mergeCell ref="A58:A69"/>
    <mergeCell ref="A74:A75"/>
    <mergeCell ref="A76:A77"/>
    <mergeCell ref="A78:A82"/>
    <mergeCell ref="A83:A88"/>
    <mergeCell ref="A89:A94"/>
    <mergeCell ref="A100:A111"/>
    <mergeCell ref="A112:A123"/>
    <mergeCell ref="A128:A133"/>
    <mergeCell ref="A134:A139"/>
    <mergeCell ref="B10:B21"/>
    <mergeCell ref="B22:B33"/>
    <mergeCell ref="B34:B45"/>
    <mergeCell ref="B46:B57"/>
    <mergeCell ref="B58:B69"/>
    <mergeCell ref="B74:B75"/>
    <mergeCell ref="B76:B77"/>
    <mergeCell ref="B78:B82"/>
    <mergeCell ref="B83:B88"/>
    <mergeCell ref="B89:B94"/>
    <mergeCell ref="B100:B111"/>
    <mergeCell ref="B112:B123"/>
    <mergeCell ref="B128:B133"/>
    <mergeCell ref="B134:B139"/>
    <mergeCell ref="C10:C11"/>
    <mergeCell ref="C12:C21"/>
    <mergeCell ref="C22:C23"/>
    <mergeCell ref="C24:C33"/>
    <mergeCell ref="C34:C41"/>
    <mergeCell ref="C42:C43"/>
    <mergeCell ref="C44:C45"/>
    <mergeCell ref="C46:C53"/>
    <mergeCell ref="C54:C55"/>
    <mergeCell ref="C56:C57"/>
    <mergeCell ref="C58:C65"/>
    <mergeCell ref="C66:C67"/>
    <mergeCell ref="C68:C69"/>
    <mergeCell ref="C74:C75"/>
    <mergeCell ref="C76:C77"/>
    <mergeCell ref="C78:C81"/>
    <mergeCell ref="C83:C87"/>
    <mergeCell ref="C89:C93"/>
    <mergeCell ref="C100:C107"/>
    <mergeCell ref="C108:C109"/>
    <mergeCell ref="C110:C111"/>
    <mergeCell ref="C112:C119"/>
    <mergeCell ref="C120:C121"/>
    <mergeCell ref="C122:C123"/>
    <mergeCell ref="C128:C132"/>
    <mergeCell ref="C134:C138"/>
  </mergeCells>
  <pageMargins left="0.7" right="0.7" top="0.75" bottom="0.75" header="0.3" footer="0.3"/>
  <pageSetup paperSize="9" scale="94" fitToHeight="0" orientation="landscape"/>
  <headerFooter>
    <oddFooter>&amp;C&amp;"Times New Roman,Regular"&amp;10Page &amp;P</oddFooter>
  </headerFooter>
  <rowBreaks count="4" manualBreakCount="4">
    <brk id="31" max="8" man="1"/>
    <brk id="57" max="8" man="1"/>
    <brk id="80" max="8" man="1"/>
    <brk id="12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155"/>
  <sheetViews>
    <sheetView view="pageBreakPreview" zoomScale="115" zoomScaleNormal="100" topLeftCell="A79" workbookViewId="0">
      <selection activeCell="O8" sqref="O8"/>
    </sheetView>
  </sheetViews>
  <sheetFormatPr defaultColWidth="9" defaultRowHeight="14.25"/>
  <cols>
    <col min="1" max="1" width="7" customWidth="1"/>
    <col min="2" max="2" width="19.6" customWidth="1"/>
    <col min="3" max="3" width="13.6" customWidth="1"/>
    <col min="4" max="4" width="15.2" customWidth="1"/>
    <col min="5" max="6" width="12.6" customWidth="1"/>
    <col min="7" max="7" width="12.7" customWidth="1"/>
    <col min="8" max="8" width="9.5" customWidth="1"/>
    <col min="9" max="9" width="16" customWidth="1"/>
    <col min="10" max="12" width="8"/>
    <col min="13" max="13" width="8.2" customWidth="1"/>
    <col min="14" max="22" width="8"/>
    <col min="23" max="23" width="13.7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s="1" customFormat="1" ht="15.75" spans="1:9">
      <c r="A3" s="7" t="s">
        <v>302</v>
      </c>
      <c r="B3" s="7"/>
      <c r="C3" s="7"/>
      <c r="D3" s="7"/>
      <c r="E3" s="7"/>
      <c r="F3" s="7"/>
      <c r="G3" s="7"/>
      <c r="H3" s="7"/>
      <c r="I3" s="7"/>
    </row>
    <row r="4" s="1" customFormat="1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1" customFormat="1" ht="15.75" spans="1:9">
      <c r="A5" s="5" t="s">
        <v>303</v>
      </c>
      <c r="B5" s="5"/>
      <c r="C5" s="5"/>
      <c r="D5" s="5"/>
      <c r="E5" s="5"/>
      <c r="F5" s="5"/>
      <c r="G5" s="5"/>
      <c r="H5" s="5"/>
      <c r="I5" s="5"/>
    </row>
    <row r="6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spans="1:9">
      <c r="A7" s="6" t="s">
        <v>7</v>
      </c>
      <c r="B7" s="6"/>
      <c r="C7" s="6"/>
      <c r="D7" s="6"/>
      <c r="E7" s="6"/>
      <c r="G7" s="41" t="s">
        <v>8</v>
      </c>
      <c r="H7" s="41"/>
      <c r="I7" s="41"/>
    </row>
    <row r="8" s="1" customFormat="1" ht="47.25" spans="1:9">
      <c r="A8" s="41" t="s">
        <v>9</v>
      </c>
      <c r="B8" s="35" t="s">
        <v>10</v>
      </c>
      <c r="C8" s="41" t="s">
        <v>11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35" t="s">
        <v>17</v>
      </c>
    </row>
    <row r="9" ht="15.75" spans="1:9">
      <c r="A9" s="9" t="s">
        <v>18</v>
      </c>
      <c r="B9" s="10" t="s">
        <v>19</v>
      </c>
      <c r="C9" s="9" t="s">
        <v>20</v>
      </c>
      <c r="D9" s="11" t="s">
        <v>21</v>
      </c>
      <c r="E9" s="11" t="s">
        <v>22</v>
      </c>
      <c r="F9" s="11" t="s">
        <v>23</v>
      </c>
      <c r="G9" s="11" t="s">
        <v>24</v>
      </c>
      <c r="H9" s="11" t="s">
        <v>25</v>
      </c>
      <c r="I9" s="11" t="s">
        <v>26</v>
      </c>
    </row>
    <row r="10" ht="15.75" spans="1:9">
      <c r="A10" s="71">
        <v>1</v>
      </c>
      <c r="B10" s="71">
        <v>1981</v>
      </c>
      <c r="C10" s="64" t="s">
        <v>60</v>
      </c>
      <c r="D10" s="13" t="s">
        <v>62</v>
      </c>
      <c r="E10" s="14">
        <v>1435</v>
      </c>
      <c r="F10" s="15" t="s">
        <v>29</v>
      </c>
      <c r="G10" s="16">
        <f t="shared" ref="G10:G15" si="0">E10*(65.19*365)/POWER(10,9)</f>
        <v>0.03414489225</v>
      </c>
      <c r="H10" s="15" t="s">
        <v>29</v>
      </c>
      <c r="I10" s="16">
        <f>G10</f>
        <v>0.03414489225</v>
      </c>
    </row>
    <row r="11" ht="15.75" spans="1:9">
      <c r="A11" s="71"/>
      <c r="B11" s="71"/>
      <c r="C11" s="64"/>
      <c r="D11" s="13" t="s">
        <v>60</v>
      </c>
      <c r="E11" s="14">
        <v>23725</v>
      </c>
      <c r="F11" s="15" t="s">
        <v>29</v>
      </c>
      <c r="G11" s="16">
        <f t="shared" si="0"/>
        <v>0.56452095375</v>
      </c>
      <c r="H11" s="15" t="s">
        <v>29</v>
      </c>
      <c r="I11" s="16">
        <f t="shared" ref="I11:I15" si="1">G11</f>
        <v>0.56452095375</v>
      </c>
    </row>
    <row r="12" ht="15.75" spans="1:9">
      <c r="A12" s="71"/>
      <c r="B12" s="71"/>
      <c r="C12" s="64"/>
      <c r="D12" s="13" t="s">
        <v>304</v>
      </c>
      <c r="E12" s="14">
        <v>258</v>
      </c>
      <c r="F12" s="15" t="s">
        <v>29</v>
      </c>
      <c r="G12" s="16">
        <f t="shared" si="0"/>
        <v>0.0061389423</v>
      </c>
      <c r="H12" s="15" t="s">
        <v>29</v>
      </c>
      <c r="I12" s="16">
        <f t="shared" si="1"/>
        <v>0.0061389423</v>
      </c>
    </row>
    <row r="13" ht="15.75" spans="1:9">
      <c r="A13" s="71">
        <v>2</v>
      </c>
      <c r="B13" s="70">
        <v>1991</v>
      </c>
      <c r="C13" s="11" t="s">
        <v>60</v>
      </c>
      <c r="D13" s="13" t="s">
        <v>62</v>
      </c>
      <c r="E13" s="14">
        <v>1487</v>
      </c>
      <c r="F13" s="15" t="s">
        <v>29</v>
      </c>
      <c r="G13" s="16">
        <f t="shared" si="0"/>
        <v>0.03538219845</v>
      </c>
      <c r="H13" s="15" t="s">
        <v>29</v>
      </c>
      <c r="I13" s="16">
        <f t="shared" si="1"/>
        <v>0.03538219845</v>
      </c>
    </row>
    <row r="14" ht="15.75" spans="1:9">
      <c r="A14" s="71"/>
      <c r="B14" s="83"/>
      <c r="C14" s="22"/>
      <c r="D14" s="13" t="s">
        <v>60</v>
      </c>
      <c r="E14" s="18">
        <v>24593</v>
      </c>
      <c r="F14" s="15" t="s">
        <v>29</v>
      </c>
      <c r="G14" s="16">
        <f t="shared" si="0"/>
        <v>0.58517444955</v>
      </c>
      <c r="H14" s="15" t="s">
        <v>29</v>
      </c>
      <c r="I14" s="16">
        <f t="shared" si="1"/>
        <v>0.58517444955</v>
      </c>
    </row>
    <row r="15" ht="15.75" spans="1:9">
      <c r="A15" s="71"/>
      <c r="B15" s="84"/>
      <c r="C15" s="23"/>
      <c r="D15" s="13" t="s">
        <v>304</v>
      </c>
      <c r="E15" s="14">
        <v>267</v>
      </c>
      <c r="F15" s="15" t="s">
        <v>29</v>
      </c>
      <c r="G15" s="16">
        <f t="shared" si="0"/>
        <v>0.00635309145</v>
      </c>
      <c r="H15" s="15" t="s">
        <v>29</v>
      </c>
      <c r="I15" s="16">
        <f t="shared" si="1"/>
        <v>0.00635309145</v>
      </c>
    </row>
    <row r="16" ht="15.75" spans="1:11">
      <c r="A16" s="71">
        <v>3</v>
      </c>
      <c r="B16" s="70">
        <v>2001</v>
      </c>
      <c r="C16" s="11" t="s">
        <v>60</v>
      </c>
      <c r="D16" s="13" t="s">
        <v>62</v>
      </c>
      <c r="E16" s="14">
        <v>1756</v>
      </c>
      <c r="F16" s="42">
        <v>2381</v>
      </c>
      <c r="G16" s="16">
        <f t="shared" ref="G16:G24" si="2">E16*(65.19*365)/POWER(10,9)</f>
        <v>0.0417828786</v>
      </c>
      <c r="H16" s="43">
        <v>0.0518531104523558</v>
      </c>
      <c r="I16" s="16">
        <f t="shared" ref="I16:I24" si="3">G16+H16</f>
        <v>0.0936359890523558</v>
      </c>
      <c r="K16" s="53"/>
    </row>
    <row r="17" ht="15.75" spans="1:11">
      <c r="A17" s="71"/>
      <c r="B17" s="83"/>
      <c r="C17" s="22"/>
      <c r="D17" s="13" t="s">
        <v>60</v>
      </c>
      <c r="E17" s="14">
        <v>29029</v>
      </c>
      <c r="F17" s="42">
        <v>21380</v>
      </c>
      <c r="G17" s="16">
        <f t="shared" si="2"/>
        <v>0.69072618615</v>
      </c>
      <c r="H17" s="43">
        <v>0.429136733896659</v>
      </c>
      <c r="I17" s="16">
        <f t="shared" si="3"/>
        <v>1.11986292004666</v>
      </c>
      <c r="K17" s="53"/>
    </row>
    <row r="18" ht="15.75" spans="1:11">
      <c r="A18" s="71"/>
      <c r="B18" s="84"/>
      <c r="C18" s="23"/>
      <c r="D18" s="13" t="s">
        <v>304</v>
      </c>
      <c r="E18" s="14">
        <v>316</v>
      </c>
      <c r="F18" s="42">
        <v>287</v>
      </c>
      <c r="G18" s="16">
        <f t="shared" si="2"/>
        <v>0.0075190146</v>
      </c>
      <c r="H18" s="43">
        <v>0.00521845093282076</v>
      </c>
      <c r="I18" s="16">
        <f t="shared" si="3"/>
        <v>0.0127374655328208</v>
      </c>
      <c r="K18" s="53"/>
    </row>
    <row r="19" ht="15.75" spans="1:11">
      <c r="A19" s="71">
        <v>4</v>
      </c>
      <c r="B19" s="71">
        <v>2011</v>
      </c>
      <c r="C19" s="10" t="s">
        <v>60</v>
      </c>
      <c r="D19" s="13" t="s">
        <v>62</v>
      </c>
      <c r="E19" s="14">
        <v>1998</v>
      </c>
      <c r="F19" s="42">
        <v>2576</v>
      </c>
      <c r="G19" s="16">
        <f t="shared" si="2"/>
        <v>0.0475411113</v>
      </c>
      <c r="H19" s="43">
        <v>0.05617338975248</v>
      </c>
      <c r="I19" s="16">
        <f t="shared" si="3"/>
        <v>0.10371450105248</v>
      </c>
      <c r="K19" s="53"/>
    </row>
    <row r="20" ht="15.75" spans="1:11">
      <c r="A20" s="71"/>
      <c r="B20" s="71"/>
      <c r="C20" s="10"/>
      <c r="D20" s="13" t="s">
        <v>60</v>
      </c>
      <c r="E20" s="14">
        <v>33044</v>
      </c>
      <c r="F20" s="42">
        <v>36214</v>
      </c>
      <c r="G20" s="16">
        <f t="shared" si="2"/>
        <v>0.7862605014</v>
      </c>
      <c r="H20" s="43">
        <v>0.54302547412719</v>
      </c>
      <c r="I20" s="16">
        <f t="shared" si="3"/>
        <v>1.32928597552719</v>
      </c>
      <c r="K20" s="53"/>
    </row>
    <row r="21" ht="15.75" spans="1:11">
      <c r="A21" s="71"/>
      <c r="B21" s="71"/>
      <c r="C21" s="10"/>
      <c r="D21" s="13" t="s">
        <v>304</v>
      </c>
      <c r="E21" s="14">
        <v>359</v>
      </c>
      <c r="F21" s="42">
        <v>263</v>
      </c>
      <c r="G21" s="16">
        <f t="shared" si="2"/>
        <v>0.00854217165</v>
      </c>
      <c r="H21" s="43">
        <v>0.0053676668955</v>
      </c>
      <c r="I21" s="16">
        <f t="shared" si="3"/>
        <v>0.0139098385455</v>
      </c>
      <c r="K21" s="53"/>
    </row>
    <row r="22" ht="15.75" spans="1:11">
      <c r="A22" s="71">
        <v>5</v>
      </c>
      <c r="B22" s="71">
        <v>2021</v>
      </c>
      <c r="C22" s="10" t="s">
        <v>60</v>
      </c>
      <c r="D22" s="13" t="s">
        <v>62</v>
      </c>
      <c r="E22" s="14">
        <v>2282</v>
      </c>
      <c r="F22" s="42">
        <v>1402</v>
      </c>
      <c r="G22" s="16">
        <f t="shared" si="2"/>
        <v>0.0542987067</v>
      </c>
      <c r="H22" s="43">
        <v>0.03474639124425</v>
      </c>
      <c r="I22" s="16">
        <f t="shared" si="3"/>
        <v>0.08904509794425</v>
      </c>
      <c r="K22" s="53"/>
    </row>
    <row r="23" ht="15.75" spans="1:11">
      <c r="A23" s="71"/>
      <c r="B23" s="71"/>
      <c r="C23" s="10"/>
      <c r="D23" s="13" t="s">
        <v>60</v>
      </c>
      <c r="E23" s="14">
        <v>37724</v>
      </c>
      <c r="F23" s="42">
        <v>14072</v>
      </c>
      <c r="G23" s="16">
        <f t="shared" si="2"/>
        <v>0.8976180594</v>
      </c>
      <c r="H23" s="43">
        <v>0.347840326537393</v>
      </c>
      <c r="I23" s="16">
        <f t="shared" si="3"/>
        <v>1.24545838593739</v>
      </c>
      <c r="K23" s="53"/>
    </row>
    <row r="24" ht="15.75" spans="1:11">
      <c r="A24" s="71"/>
      <c r="B24" s="71"/>
      <c r="C24" s="10"/>
      <c r="D24" s="13" t="s">
        <v>304</v>
      </c>
      <c r="E24" s="14">
        <v>410</v>
      </c>
      <c r="F24" s="42">
        <v>147</v>
      </c>
      <c r="G24" s="16">
        <f t="shared" si="2"/>
        <v>0.0097556835</v>
      </c>
      <c r="H24" s="43">
        <v>0.00395950144757143</v>
      </c>
      <c r="I24" s="16">
        <f t="shared" si="3"/>
        <v>0.0137151849475714</v>
      </c>
      <c r="K24" s="53"/>
    </row>
    <row r="25" ht="15.75" spans="1:11">
      <c r="A25" s="115"/>
      <c r="B25" s="115"/>
      <c r="C25" s="25"/>
      <c r="D25" s="26"/>
      <c r="E25" s="27"/>
      <c r="F25" s="123"/>
      <c r="G25" s="29"/>
      <c r="H25" s="117"/>
      <c r="I25" s="29"/>
      <c r="K25" s="53"/>
    </row>
    <row r="26" ht="15.75" spans="1:11">
      <c r="A26" s="129" t="s">
        <v>305</v>
      </c>
      <c r="B26" s="129"/>
      <c r="C26" s="129"/>
      <c r="D26" s="129"/>
      <c r="E26" s="129"/>
      <c r="G26" s="41" t="s">
        <v>8</v>
      </c>
      <c r="H26" s="41"/>
      <c r="I26" s="41"/>
      <c r="K26" s="53"/>
    </row>
    <row r="27" s="1" customFormat="1" ht="38.25" customHeight="1" spans="1:9">
      <c r="A27" s="36" t="s">
        <v>9</v>
      </c>
      <c r="B27" s="36" t="s">
        <v>10</v>
      </c>
      <c r="C27" s="36" t="s">
        <v>11</v>
      </c>
      <c r="D27" s="37" t="s">
        <v>83</v>
      </c>
      <c r="E27" s="37" t="s">
        <v>13</v>
      </c>
      <c r="F27" s="35" t="s">
        <v>14</v>
      </c>
      <c r="G27" s="35" t="s">
        <v>15</v>
      </c>
      <c r="H27" s="35" t="s">
        <v>16</v>
      </c>
      <c r="I27" s="35" t="s">
        <v>17</v>
      </c>
    </row>
    <row r="28" s="1" customFormat="1" spans="1:9">
      <c r="A28" s="130"/>
      <c r="B28" s="130"/>
      <c r="C28" s="131"/>
      <c r="D28" s="132"/>
      <c r="E28" s="132"/>
      <c r="F28" s="35"/>
      <c r="G28" s="35"/>
      <c r="H28" s="35"/>
      <c r="I28" s="35"/>
    </row>
    <row r="29" ht="15.75" spans="1:9">
      <c r="A29" s="9" t="s">
        <v>18</v>
      </c>
      <c r="B29" s="10" t="s">
        <v>19</v>
      </c>
      <c r="C29" s="9" t="s">
        <v>20</v>
      </c>
      <c r="D29" s="10" t="s">
        <v>21</v>
      </c>
      <c r="E29" s="10" t="s">
        <v>22</v>
      </c>
      <c r="F29" s="10" t="s">
        <v>23</v>
      </c>
      <c r="G29" s="10" t="s">
        <v>24</v>
      </c>
      <c r="H29" s="10" t="s">
        <v>25</v>
      </c>
      <c r="I29" s="10" t="s">
        <v>26</v>
      </c>
    </row>
    <row r="30" spans="1:9">
      <c r="A30" s="133" t="s">
        <v>143</v>
      </c>
      <c r="B30" s="133"/>
      <c r="C30" s="133"/>
      <c r="D30" s="133"/>
      <c r="E30" s="133"/>
      <c r="F30" s="133"/>
      <c r="G30" s="133"/>
      <c r="H30" s="133"/>
      <c r="I30" s="133"/>
    </row>
    <row r="31" spans="1:9">
      <c r="A31" s="133"/>
      <c r="B31" s="133"/>
      <c r="C31" s="133"/>
      <c r="D31" s="133"/>
      <c r="E31" s="133"/>
      <c r="F31" s="133"/>
      <c r="G31" s="133"/>
      <c r="H31" s="133"/>
      <c r="I31" s="133"/>
    </row>
    <row r="32" spans="1:9">
      <c r="A32" s="133"/>
      <c r="B32" s="133"/>
      <c r="C32" s="133"/>
      <c r="D32" s="133"/>
      <c r="E32" s="133"/>
      <c r="F32" s="133"/>
      <c r="G32" s="133"/>
      <c r="H32" s="133"/>
      <c r="I32" s="133"/>
    </row>
    <row r="33" spans="1:9">
      <c r="A33" s="133"/>
      <c r="B33" s="133"/>
      <c r="C33" s="133"/>
      <c r="D33" s="133"/>
      <c r="E33" s="133"/>
      <c r="F33" s="133"/>
      <c r="G33" s="133"/>
      <c r="H33" s="133"/>
      <c r="I33" s="133"/>
    </row>
    <row r="34" spans="1:9">
      <c r="A34" s="133"/>
      <c r="B34" s="133"/>
      <c r="C34" s="133"/>
      <c r="D34" s="133"/>
      <c r="E34" s="133"/>
      <c r="F34" s="133"/>
      <c r="G34" s="133"/>
      <c r="H34" s="133"/>
      <c r="I34" s="133"/>
    </row>
    <row r="35" spans="1:9">
      <c r="A35" s="133"/>
      <c r="B35" s="133"/>
      <c r="C35" s="133"/>
      <c r="D35" s="133"/>
      <c r="E35" s="133"/>
      <c r="F35" s="133"/>
      <c r="G35" s="133"/>
      <c r="H35" s="133"/>
      <c r="I35" s="133"/>
    </row>
    <row r="36" spans="1:9">
      <c r="A36" s="133"/>
      <c r="B36" s="133"/>
      <c r="C36" s="133"/>
      <c r="D36" s="133"/>
      <c r="E36" s="133"/>
      <c r="F36" s="133"/>
      <c r="G36" s="133"/>
      <c r="H36" s="133"/>
      <c r="I36" s="133"/>
    </row>
    <row r="37" spans="1:9">
      <c r="A37" s="133"/>
      <c r="B37" s="133"/>
      <c r="C37" s="133"/>
      <c r="D37" s="133"/>
      <c r="E37" s="133"/>
      <c r="F37" s="133"/>
      <c r="G37" s="133"/>
      <c r="H37" s="133"/>
      <c r="I37" s="133"/>
    </row>
    <row r="38" spans="1:9">
      <c r="A38" s="133"/>
      <c r="B38" s="133"/>
      <c r="C38" s="133"/>
      <c r="D38" s="133"/>
      <c r="E38" s="133"/>
      <c r="F38" s="133"/>
      <c r="G38" s="133"/>
      <c r="H38" s="133"/>
      <c r="I38" s="133"/>
    </row>
    <row r="39" spans="1:9">
      <c r="A39" s="133"/>
      <c r="B39" s="133"/>
      <c r="C39" s="133"/>
      <c r="D39" s="133"/>
      <c r="E39" s="133"/>
      <c r="F39" s="133"/>
      <c r="G39" s="133"/>
      <c r="H39" s="133"/>
      <c r="I39" s="133"/>
    </row>
    <row r="40" ht="19.5" customHeight="1" spans="1:9">
      <c r="A40" s="133"/>
      <c r="B40" s="133"/>
      <c r="C40" s="133"/>
      <c r="D40" s="133"/>
      <c r="E40" s="133"/>
      <c r="F40" s="133"/>
      <c r="G40" s="133"/>
      <c r="H40" s="133"/>
      <c r="I40" s="133"/>
    </row>
    <row r="41" ht="19.5" customHeight="1" spans="1:9">
      <c r="A41" s="134"/>
      <c r="B41" s="134"/>
      <c r="C41" s="134"/>
      <c r="D41" s="134"/>
      <c r="E41" s="134"/>
      <c r="F41" s="134"/>
      <c r="G41" s="134"/>
      <c r="H41" s="134"/>
      <c r="I41" s="134"/>
    </row>
    <row r="42" ht="19.5" customHeight="1" spans="1:9">
      <c r="A42" s="39" t="s">
        <v>102</v>
      </c>
      <c r="B42" s="39"/>
      <c r="C42" s="39"/>
      <c r="D42" s="39"/>
      <c r="E42" s="39"/>
      <c r="F42" s="39"/>
      <c r="G42" s="39"/>
      <c r="H42" s="39"/>
      <c r="I42" s="39"/>
    </row>
    <row r="43" ht="15.75" spans="1:9">
      <c r="A43" s="40" t="s">
        <v>7</v>
      </c>
      <c r="B43" s="40"/>
      <c r="C43" s="40"/>
      <c r="D43" s="40"/>
      <c r="E43" s="40"/>
      <c r="F43" s="126" t="s">
        <v>8</v>
      </c>
      <c r="G43" s="126"/>
      <c r="H43" s="126"/>
      <c r="I43" s="126"/>
    </row>
    <row r="44" s="1" customFormat="1" ht="47.25" spans="1:9">
      <c r="A44" s="41" t="s">
        <v>9</v>
      </c>
      <c r="B44" s="35" t="s">
        <v>104</v>
      </c>
      <c r="C44" s="41" t="s">
        <v>11</v>
      </c>
      <c r="D44" s="41" t="s">
        <v>12</v>
      </c>
      <c r="E44" s="35" t="s">
        <v>13</v>
      </c>
      <c r="F44" s="35" t="s">
        <v>84</v>
      </c>
      <c r="G44" s="35" t="s">
        <v>15</v>
      </c>
      <c r="H44" s="35" t="s">
        <v>16</v>
      </c>
      <c r="I44" s="35" t="s">
        <v>17</v>
      </c>
    </row>
    <row r="45" ht="15.75" spans="1:9">
      <c r="A45" s="12" t="s">
        <v>18</v>
      </c>
      <c r="B45" s="11" t="s">
        <v>19</v>
      </c>
      <c r="C45" s="12" t="s">
        <v>20</v>
      </c>
      <c r="D45" s="11" t="s">
        <v>21</v>
      </c>
      <c r="E45" s="11" t="s">
        <v>22</v>
      </c>
      <c r="F45" s="11" t="s">
        <v>23</v>
      </c>
      <c r="G45" s="11" t="s">
        <v>24</v>
      </c>
      <c r="H45" s="11" t="s">
        <v>25</v>
      </c>
      <c r="I45" s="11" t="s">
        <v>26</v>
      </c>
    </row>
    <row r="46" ht="15.75" spans="1:9">
      <c r="A46" s="71">
        <v>1</v>
      </c>
      <c r="B46" s="71">
        <v>2025</v>
      </c>
      <c r="C46" s="64" t="s">
        <v>60</v>
      </c>
      <c r="D46" s="13" t="s">
        <v>62</v>
      </c>
      <c r="E46" s="14">
        <v>2421</v>
      </c>
      <c r="F46" s="19">
        <v>1045</v>
      </c>
      <c r="G46" s="16">
        <f t="shared" ref="G46:G51" si="4">E46*(65.19*365)/POWER(10,9)</f>
        <v>0.05760612135</v>
      </c>
      <c r="H46" s="20">
        <v>0.025140551468</v>
      </c>
      <c r="I46" s="16">
        <f t="shared" ref="I46:I51" si="5">G46+H46</f>
        <v>0.082746672818</v>
      </c>
    </row>
    <row r="47" ht="15.75" spans="1:9">
      <c r="A47" s="71"/>
      <c r="B47" s="71"/>
      <c r="C47" s="64"/>
      <c r="D47" s="13" t="s">
        <v>60</v>
      </c>
      <c r="E47" s="14">
        <v>40037</v>
      </c>
      <c r="F47" s="19">
        <v>10962</v>
      </c>
      <c r="G47" s="16">
        <f t="shared" si="4"/>
        <v>0.95265439095</v>
      </c>
      <c r="H47" s="20">
        <v>0.293311006228286</v>
      </c>
      <c r="I47" s="16">
        <f t="shared" si="5"/>
        <v>1.24596539717829</v>
      </c>
    </row>
    <row r="48" ht="15.75" spans="1:9">
      <c r="A48" s="71"/>
      <c r="B48" s="71"/>
      <c r="C48" s="64"/>
      <c r="D48" s="13" t="s">
        <v>304</v>
      </c>
      <c r="E48" s="14">
        <v>435</v>
      </c>
      <c r="F48" s="19">
        <v>108</v>
      </c>
      <c r="G48" s="16">
        <f t="shared" si="4"/>
        <v>0.01035054225</v>
      </c>
      <c r="H48" s="20">
        <v>0.00347500884257143</v>
      </c>
      <c r="I48" s="16">
        <f t="shared" si="5"/>
        <v>0.0138255510925714</v>
      </c>
    </row>
    <row r="49" ht="15.75" spans="1:9">
      <c r="A49" s="71">
        <v>2</v>
      </c>
      <c r="B49" s="71">
        <v>2050</v>
      </c>
      <c r="C49" s="64" t="s">
        <v>60</v>
      </c>
      <c r="D49" s="13" t="s">
        <v>62</v>
      </c>
      <c r="E49" s="14">
        <v>3641</v>
      </c>
      <c r="F49" s="19">
        <v>512</v>
      </c>
      <c r="G49" s="16">
        <f t="shared" si="4"/>
        <v>0.08663522835</v>
      </c>
      <c r="H49" s="20">
        <v>0.003377554583</v>
      </c>
      <c r="I49" s="16">
        <f t="shared" si="5"/>
        <v>0.090012782933</v>
      </c>
    </row>
    <row r="50" ht="15.75" spans="1:9">
      <c r="A50" s="71"/>
      <c r="B50" s="71"/>
      <c r="C50" s="64"/>
      <c r="D50" s="13" t="s">
        <v>60</v>
      </c>
      <c r="E50" s="14">
        <v>60196</v>
      </c>
      <c r="F50" s="19">
        <v>3331</v>
      </c>
      <c r="G50" s="16">
        <f t="shared" si="4"/>
        <v>1.4323246926</v>
      </c>
      <c r="H50" s="20">
        <v>0.0233324609168571</v>
      </c>
      <c r="I50" s="16">
        <f t="shared" si="5"/>
        <v>1.45565715351686</v>
      </c>
    </row>
    <row r="51" ht="15.75" spans="1:9">
      <c r="A51" s="71"/>
      <c r="B51" s="71"/>
      <c r="C51" s="64"/>
      <c r="D51" s="13" t="s">
        <v>304</v>
      </c>
      <c r="E51" s="14">
        <v>654</v>
      </c>
      <c r="F51" s="19">
        <v>35</v>
      </c>
      <c r="G51" s="16">
        <f t="shared" si="4"/>
        <v>0.0155615049</v>
      </c>
      <c r="H51" s="20">
        <v>0.0014</v>
      </c>
      <c r="I51" s="16">
        <f t="shared" si="5"/>
        <v>0.0169615049</v>
      </c>
    </row>
    <row r="52" spans="1:9">
      <c r="A52" s="134"/>
      <c r="B52" s="134"/>
      <c r="C52" s="134"/>
      <c r="D52" s="134"/>
      <c r="E52" s="134"/>
      <c r="F52" s="134"/>
      <c r="G52" s="134"/>
      <c r="H52" s="134"/>
      <c r="I52" s="134"/>
    </row>
    <row r="53" ht="15.75" spans="1:9">
      <c r="A53" s="5" t="s">
        <v>306</v>
      </c>
      <c r="B53" s="5"/>
      <c r="C53" s="5"/>
      <c r="D53" s="4"/>
      <c r="E53" s="4"/>
      <c r="F53" s="126" t="s">
        <v>8</v>
      </c>
      <c r="G53" s="126"/>
      <c r="H53" s="126"/>
      <c r="I53" s="126"/>
    </row>
    <row r="54" spans="1:9">
      <c r="A54" s="41" t="s">
        <v>9</v>
      </c>
      <c r="B54" s="35" t="s">
        <v>104</v>
      </c>
      <c r="C54" s="41" t="s">
        <v>11</v>
      </c>
      <c r="D54" s="35" t="s">
        <v>307</v>
      </c>
      <c r="E54" s="35" t="s">
        <v>13</v>
      </c>
      <c r="F54" s="35" t="s">
        <v>84</v>
      </c>
      <c r="G54" s="35" t="s">
        <v>15</v>
      </c>
      <c r="H54" s="35" t="s">
        <v>16</v>
      </c>
      <c r="I54" s="35" t="s">
        <v>17</v>
      </c>
    </row>
    <row r="55" ht="49.95" customHeight="1" spans="1:9">
      <c r="A55" s="41"/>
      <c r="B55" s="35"/>
      <c r="C55" s="41"/>
      <c r="D55" s="41"/>
      <c r="E55" s="35"/>
      <c r="F55" s="35"/>
      <c r="G55" s="35"/>
      <c r="H55" s="35"/>
      <c r="I55" s="35"/>
    </row>
    <row r="56" ht="15.75" spans="1:9">
      <c r="A56" s="12" t="s">
        <v>18</v>
      </c>
      <c r="B56" s="11" t="s">
        <v>19</v>
      </c>
      <c r="C56" s="12" t="s">
        <v>20</v>
      </c>
      <c r="D56" s="11" t="s">
        <v>21</v>
      </c>
      <c r="E56" s="11" t="s">
        <v>22</v>
      </c>
      <c r="F56" s="11" t="s">
        <v>23</v>
      </c>
      <c r="G56" s="11" t="s">
        <v>24</v>
      </c>
      <c r="H56" s="11" t="s">
        <v>25</v>
      </c>
      <c r="I56" s="11" t="s">
        <v>26</v>
      </c>
    </row>
    <row r="57" spans="1:9">
      <c r="A57" s="135" t="s">
        <v>143</v>
      </c>
      <c r="B57" s="136"/>
      <c r="C57" s="136"/>
      <c r="D57" s="136"/>
      <c r="E57" s="136"/>
      <c r="F57" s="136"/>
      <c r="G57" s="136"/>
      <c r="H57" s="136"/>
      <c r="I57" s="141"/>
    </row>
    <row r="58" spans="1:9">
      <c r="A58" s="137"/>
      <c r="B58" s="138"/>
      <c r="C58" s="138"/>
      <c r="D58" s="138"/>
      <c r="E58" s="138"/>
      <c r="F58" s="138"/>
      <c r="G58" s="138"/>
      <c r="H58" s="138"/>
      <c r="I58" s="142"/>
    </row>
    <row r="59" spans="1:9">
      <c r="A59" s="137"/>
      <c r="B59" s="138"/>
      <c r="C59" s="138"/>
      <c r="D59" s="138"/>
      <c r="E59" s="138"/>
      <c r="F59" s="138"/>
      <c r="G59" s="138"/>
      <c r="H59" s="138"/>
      <c r="I59" s="142"/>
    </row>
    <row r="60" spans="1:9">
      <c r="A60" s="137"/>
      <c r="B60" s="138"/>
      <c r="C60" s="138"/>
      <c r="D60" s="138"/>
      <c r="E60" s="138"/>
      <c r="F60" s="138"/>
      <c r="G60" s="138"/>
      <c r="H60" s="138"/>
      <c r="I60" s="142"/>
    </row>
    <row r="61" spans="1:9">
      <c r="A61" s="137"/>
      <c r="B61" s="138"/>
      <c r="C61" s="138"/>
      <c r="D61" s="138"/>
      <c r="E61" s="138"/>
      <c r="F61" s="138"/>
      <c r="G61" s="138"/>
      <c r="H61" s="138"/>
      <c r="I61" s="142"/>
    </row>
    <row r="62" spans="1:9">
      <c r="A62" s="139"/>
      <c r="B62" s="140"/>
      <c r="C62" s="140"/>
      <c r="D62" s="140"/>
      <c r="E62" s="140"/>
      <c r="F62" s="140"/>
      <c r="G62" s="140"/>
      <c r="H62" s="140"/>
      <c r="I62" s="143"/>
    </row>
    <row r="63" spans="1:9">
      <c r="A63" s="134"/>
      <c r="B63" s="134"/>
      <c r="C63" s="134"/>
      <c r="D63" s="134"/>
      <c r="E63" s="134"/>
      <c r="F63" s="134"/>
      <c r="G63" s="134"/>
      <c r="H63" s="134"/>
      <c r="I63" s="134"/>
    </row>
    <row r="64" ht="15.6" customHeight="1" spans="1:9">
      <c r="A64" s="45" t="s">
        <v>108</v>
      </c>
      <c r="B64" s="7" t="s">
        <v>109</v>
      </c>
      <c r="C64" s="46"/>
      <c r="D64" s="46"/>
      <c r="E64" s="46"/>
      <c r="F64" s="46"/>
      <c r="G64" s="46"/>
      <c r="H64" s="46"/>
      <c r="I64" s="46"/>
    </row>
    <row r="65" ht="15.6" customHeight="1" spans="1:9">
      <c r="A65" s="46"/>
      <c r="B65" s="7" t="s">
        <v>110</v>
      </c>
      <c r="C65" s="47"/>
      <c r="D65" s="47"/>
      <c r="E65" s="47"/>
      <c r="F65" s="47"/>
      <c r="G65" s="47"/>
      <c r="H65" s="47"/>
      <c r="I65" s="47"/>
    </row>
    <row r="66" spans="2:2">
      <c r="B66" s="48" t="s">
        <v>111</v>
      </c>
    </row>
    <row r="67" s="2" customFormat="1" ht="15" customHeight="1" spans="2:2">
      <c r="B67" s="49" t="s">
        <v>112</v>
      </c>
    </row>
    <row r="68" s="2" customFormat="1" ht="15" customHeight="1" spans="2:2">
      <c r="B68" s="50" t="s">
        <v>113</v>
      </c>
    </row>
    <row r="69" s="2" customFormat="1" ht="15" customHeight="1" spans="2:2">
      <c r="B69" s="50" t="s">
        <v>114</v>
      </c>
    </row>
    <row r="70" s="2" customFormat="1" spans="2:2">
      <c r="B70" s="49" t="s">
        <v>115</v>
      </c>
    </row>
    <row r="71" s="2" customFormat="1" ht="16.5" customHeight="1" spans="2:2">
      <c r="B71" s="50" t="s">
        <v>116</v>
      </c>
    </row>
    <row r="72" s="2" customFormat="1" ht="16.5" customHeight="1" spans="2:2">
      <c r="B72" s="50" t="s">
        <v>117</v>
      </c>
    </row>
    <row r="73" spans="2:2">
      <c r="B73" s="49" t="s">
        <v>118</v>
      </c>
    </row>
    <row r="74" spans="2:2">
      <c r="B74" s="56" t="s">
        <v>119</v>
      </c>
    </row>
    <row r="75" spans="2:2">
      <c r="B75" s="56" t="s">
        <v>120</v>
      </c>
    </row>
    <row r="76" spans="2:2">
      <c r="B76" s="56" t="s">
        <v>121</v>
      </c>
    </row>
    <row r="77" spans="2:2">
      <c r="B77" s="56" t="s">
        <v>122</v>
      </c>
    </row>
    <row r="78" spans="2:2">
      <c r="B78" s="49" t="s">
        <v>123</v>
      </c>
    </row>
    <row r="79" spans="2:2">
      <c r="B79" s="49" t="s">
        <v>124</v>
      </c>
    </row>
    <row r="80" spans="2:2">
      <c r="B80" s="56" t="s">
        <v>125</v>
      </c>
    </row>
    <row r="81" spans="2:2">
      <c r="B81" s="56" t="s">
        <v>126</v>
      </c>
    </row>
    <row r="82" spans="2:2">
      <c r="B82" s="56" t="s">
        <v>127</v>
      </c>
    </row>
    <row r="83" spans="2:2">
      <c r="B83" s="56" t="s">
        <v>128</v>
      </c>
    </row>
    <row r="84" spans="2:2">
      <c r="B84" s="56" t="s">
        <v>129</v>
      </c>
    </row>
    <row r="85" spans="2:2">
      <c r="B85" s="56"/>
    </row>
    <row r="86" spans="2:2">
      <c r="B86" s="49" t="s">
        <v>130</v>
      </c>
    </row>
    <row r="87" ht="15.75" spans="2:2">
      <c r="B87" s="57"/>
    </row>
    <row r="88" spans="2:2">
      <c r="B88" s="58" t="s">
        <v>131</v>
      </c>
    </row>
    <row r="89" spans="2:2">
      <c r="B89" s="58" t="s">
        <v>132</v>
      </c>
    </row>
    <row r="90" spans="2:2">
      <c r="B90" s="59" t="s">
        <v>133</v>
      </c>
    </row>
    <row r="91" spans="2:2">
      <c r="B91" s="60"/>
    </row>
    <row r="113" ht="19.5" customHeight="1"/>
    <row r="114" ht="19.5" customHeight="1"/>
    <row r="115" ht="19.5" customHeight="1"/>
    <row r="116" ht="19.5" customHeight="1"/>
    <row r="117" ht="19.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30" ht="15" customHeight="1"/>
    <row r="131" ht="15" customHeight="1"/>
    <row r="132" ht="15" customHeight="1"/>
    <row r="135" ht="16.5" customHeight="1"/>
    <row r="136" ht="16.5" customHeight="1"/>
    <row r="137" ht="16.5" customHeight="1"/>
    <row r="138" ht="16.5" customHeight="1"/>
    <row r="139" ht="16.5" customHeight="1"/>
    <row r="152" ht="13.95" customHeight="1"/>
    <row r="153" ht="13.95" customHeight="1"/>
    <row r="154" ht="13.95" customHeight="1"/>
    <row r="155" ht="13.95" customHeight="1"/>
  </sheetData>
  <mergeCells count="56">
    <mergeCell ref="A2:I2"/>
    <mergeCell ref="A3:I3"/>
    <mergeCell ref="A4:I4"/>
    <mergeCell ref="A5:I5"/>
    <mergeCell ref="A6:I6"/>
    <mergeCell ref="A7:E7"/>
    <mergeCell ref="G7:I7"/>
    <mergeCell ref="A26:E26"/>
    <mergeCell ref="G26:I26"/>
    <mergeCell ref="A42:I42"/>
    <mergeCell ref="F43:I43"/>
    <mergeCell ref="A53:C53"/>
    <mergeCell ref="F53:I53"/>
    <mergeCell ref="B64:I64"/>
    <mergeCell ref="B65:I65"/>
    <mergeCell ref="A10:A12"/>
    <mergeCell ref="A13:A15"/>
    <mergeCell ref="A16:A18"/>
    <mergeCell ref="A19:A21"/>
    <mergeCell ref="A22:A24"/>
    <mergeCell ref="A27:A28"/>
    <mergeCell ref="A46:A48"/>
    <mergeCell ref="A49:A51"/>
    <mergeCell ref="A54:A55"/>
    <mergeCell ref="B10:B12"/>
    <mergeCell ref="B13:B15"/>
    <mergeCell ref="B16:B18"/>
    <mergeCell ref="B19:B21"/>
    <mergeCell ref="B22:B24"/>
    <mergeCell ref="B27:B28"/>
    <mergeCell ref="B46:B48"/>
    <mergeCell ref="B49:B51"/>
    <mergeCell ref="B54:B55"/>
    <mergeCell ref="C10:C12"/>
    <mergeCell ref="C13:C15"/>
    <mergeCell ref="C16:C18"/>
    <mergeCell ref="C19:C21"/>
    <mergeCell ref="C22:C24"/>
    <mergeCell ref="C27:C28"/>
    <mergeCell ref="C46:C48"/>
    <mergeCell ref="C49:C51"/>
    <mergeCell ref="C54:C55"/>
    <mergeCell ref="D27:D28"/>
    <mergeCell ref="D54:D55"/>
    <mergeCell ref="E27:E28"/>
    <mergeCell ref="E54:E55"/>
    <mergeCell ref="F27:F28"/>
    <mergeCell ref="F54:F55"/>
    <mergeCell ref="G27:G28"/>
    <mergeCell ref="G54:G55"/>
    <mergeCell ref="H27:H28"/>
    <mergeCell ref="H54:H55"/>
    <mergeCell ref="I27:I28"/>
    <mergeCell ref="I54:I55"/>
    <mergeCell ref="A30:I40"/>
    <mergeCell ref="A57:I62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2" manualBreakCount="2">
    <brk id="24" max="16383" man="1"/>
    <brk id="70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156"/>
  <sheetViews>
    <sheetView view="pageBreakPreview" zoomScaleNormal="100" topLeftCell="A103" workbookViewId="0">
      <selection activeCell="O8" sqref="O8"/>
    </sheetView>
  </sheetViews>
  <sheetFormatPr defaultColWidth="9" defaultRowHeight="14.25"/>
  <cols>
    <col min="1" max="1" width="7" customWidth="1"/>
    <col min="2" max="2" width="19.6" customWidth="1"/>
    <col min="3" max="3" width="13.6" customWidth="1"/>
    <col min="4" max="4" width="16.5" customWidth="1"/>
    <col min="5" max="6" width="12.6" customWidth="1"/>
    <col min="7" max="7" width="12.7" customWidth="1"/>
    <col min="8" max="8" width="9.5" customWidth="1"/>
    <col min="9" max="9" width="16" customWidth="1"/>
    <col min="10" max="14" width="8"/>
    <col min="15" max="15" width="13.7" customWidth="1"/>
  </cols>
  <sheetData>
    <row r="1" ht="18" spans="1:9">
      <c r="A1" s="3" t="s">
        <v>238</v>
      </c>
      <c r="B1" s="3"/>
      <c r="C1" s="3"/>
      <c r="D1" s="3"/>
      <c r="E1" s="3"/>
      <c r="F1" s="3"/>
      <c r="G1" s="3"/>
      <c r="H1" s="3"/>
      <c r="I1" s="52" t="s">
        <v>1</v>
      </c>
    </row>
    <row r="2" ht="15.75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s="1" customFormat="1" ht="15.75" spans="1:9">
      <c r="A3" s="7" t="s">
        <v>308</v>
      </c>
      <c r="B3" s="7"/>
      <c r="C3" s="7"/>
      <c r="D3" s="7"/>
      <c r="E3" s="7"/>
      <c r="F3" s="7"/>
      <c r="G3" s="7"/>
      <c r="H3" s="7"/>
      <c r="I3" s="7"/>
    </row>
    <row r="4" s="1" customFormat="1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1" customFormat="1" ht="15.75" spans="1:9">
      <c r="A5" s="5" t="s">
        <v>303</v>
      </c>
      <c r="B5" s="5"/>
      <c r="C5" s="5"/>
      <c r="D5" s="5"/>
      <c r="E5" s="5"/>
      <c r="F5" s="5"/>
      <c r="G5" s="5"/>
      <c r="H5" s="5"/>
      <c r="I5" s="5"/>
    </row>
    <row r="6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spans="1:9">
      <c r="A7" s="7" t="s">
        <v>7</v>
      </c>
      <c r="B7" s="7"/>
      <c r="C7" s="7"/>
      <c r="D7" s="7"/>
      <c r="E7" s="7"/>
      <c r="G7" s="41" t="s">
        <v>8</v>
      </c>
      <c r="H7" s="41"/>
      <c r="I7" s="41"/>
    </row>
    <row r="8" ht="47.25" spans="1:9">
      <c r="A8" s="9" t="s">
        <v>9</v>
      </c>
      <c r="B8" s="10" t="s">
        <v>10</v>
      </c>
      <c r="C8" s="9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10" t="s">
        <v>16</v>
      </c>
      <c r="I8" s="10" t="s">
        <v>17</v>
      </c>
    </row>
    <row r="9" ht="15.75" spans="1:9">
      <c r="A9" s="9" t="s">
        <v>18</v>
      </c>
      <c r="B9" s="10" t="s">
        <v>19</v>
      </c>
      <c r="C9" s="9" t="s">
        <v>20</v>
      </c>
      <c r="D9" s="11" t="s">
        <v>21</v>
      </c>
      <c r="E9" s="11" t="s">
        <v>22</v>
      </c>
      <c r="F9" s="11" t="s">
        <v>23</v>
      </c>
      <c r="G9" s="11" t="s">
        <v>24</v>
      </c>
      <c r="H9" s="11" t="s">
        <v>25</v>
      </c>
      <c r="I9" s="11" t="s">
        <v>26</v>
      </c>
    </row>
    <row r="10" ht="15.75" spans="1:9">
      <c r="A10" s="71">
        <v>1</v>
      </c>
      <c r="B10" s="71">
        <v>1981</v>
      </c>
      <c r="C10" s="64" t="s">
        <v>60</v>
      </c>
      <c r="D10" s="13" t="s">
        <v>277</v>
      </c>
      <c r="E10" s="42">
        <v>66</v>
      </c>
      <c r="F10" s="15" t="s">
        <v>29</v>
      </c>
      <c r="G10" s="43">
        <f>E10*(65.19*365)/POWER(10,9)</f>
        <v>0.0015704271</v>
      </c>
      <c r="H10" s="15" t="s">
        <v>29</v>
      </c>
      <c r="I10" s="43">
        <f>G10</f>
        <v>0.0015704271</v>
      </c>
    </row>
    <row r="11" ht="15.75" spans="1:9">
      <c r="A11" s="71"/>
      <c r="B11" s="71"/>
      <c r="C11" s="64"/>
      <c r="D11" s="13" t="s">
        <v>62</v>
      </c>
      <c r="E11" s="42">
        <v>17761</v>
      </c>
      <c r="F11" s="15" t="s">
        <v>29</v>
      </c>
      <c r="G11" s="43">
        <f t="shared" ref="G11:G39" si="0">E11*(65.19*365)/POWER(10,9)</f>
        <v>0.42261145035</v>
      </c>
      <c r="H11" s="15" t="s">
        <v>29</v>
      </c>
      <c r="I11" s="43">
        <f t="shared" ref="I11:I21" si="1">G11</f>
        <v>0.42261145035</v>
      </c>
    </row>
    <row r="12" ht="15.75" spans="1:9">
      <c r="A12" s="71"/>
      <c r="B12" s="71"/>
      <c r="C12" s="64"/>
      <c r="D12" s="13" t="s">
        <v>60</v>
      </c>
      <c r="E12" s="42">
        <v>37641</v>
      </c>
      <c r="F12" s="15" t="s">
        <v>29</v>
      </c>
      <c r="G12" s="43">
        <f t="shared" si="0"/>
        <v>0.89564312835</v>
      </c>
      <c r="H12" s="15" t="s">
        <v>29</v>
      </c>
      <c r="I12" s="43">
        <f t="shared" si="1"/>
        <v>0.89564312835</v>
      </c>
    </row>
    <row r="13" ht="15.75" spans="1:9">
      <c r="A13" s="71"/>
      <c r="B13" s="71"/>
      <c r="C13" s="64"/>
      <c r="D13" s="13" t="s">
        <v>304</v>
      </c>
      <c r="E13" s="42">
        <v>67217</v>
      </c>
      <c r="F13" s="15" t="s">
        <v>29</v>
      </c>
      <c r="G13" s="43">
        <f t="shared" si="0"/>
        <v>1.59938482395</v>
      </c>
      <c r="H13" s="15" t="s">
        <v>29</v>
      </c>
      <c r="I13" s="43">
        <f t="shared" si="1"/>
        <v>1.59938482395</v>
      </c>
    </row>
    <row r="14" ht="15.75" spans="1:9">
      <c r="A14" s="71"/>
      <c r="B14" s="71"/>
      <c r="C14" s="64"/>
      <c r="D14" s="13" t="s">
        <v>274</v>
      </c>
      <c r="E14" s="42">
        <v>23292</v>
      </c>
      <c r="F14" s="15" t="s">
        <v>29</v>
      </c>
      <c r="G14" s="43">
        <f t="shared" si="0"/>
        <v>0.5542180002</v>
      </c>
      <c r="H14" s="15" t="s">
        <v>29</v>
      </c>
      <c r="I14" s="43">
        <f t="shared" si="1"/>
        <v>0.5542180002</v>
      </c>
    </row>
    <row r="15" ht="15.75" spans="1:9">
      <c r="A15" s="71"/>
      <c r="B15" s="71"/>
      <c r="C15" s="64"/>
      <c r="D15" s="13" t="s">
        <v>275</v>
      </c>
      <c r="E15" s="42">
        <v>11947</v>
      </c>
      <c r="F15" s="15" t="s">
        <v>29</v>
      </c>
      <c r="G15" s="43">
        <f t="shared" si="0"/>
        <v>0.28427109945</v>
      </c>
      <c r="H15" s="15" t="s">
        <v>29</v>
      </c>
      <c r="I15" s="43">
        <f t="shared" si="1"/>
        <v>0.28427109945</v>
      </c>
    </row>
    <row r="16" ht="15.75" spans="1:9">
      <c r="A16" s="71">
        <v>2</v>
      </c>
      <c r="B16" s="71">
        <v>1991</v>
      </c>
      <c r="C16" s="121" t="s">
        <v>60</v>
      </c>
      <c r="D16" s="13" t="s">
        <v>277</v>
      </c>
      <c r="E16" s="42">
        <v>69</v>
      </c>
      <c r="F16" s="15" t="s">
        <v>29</v>
      </c>
      <c r="G16" s="43">
        <f t="shared" si="0"/>
        <v>0.00164181015</v>
      </c>
      <c r="H16" s="15" t="s">
        <v>29</v>
      </c>
      <c r="I16" s="43">
        <f t="shared" si="1"/>
        <v>0.00164181015</v>
      </c>
    </row>
    <row r="17" ht="15.75" spans="1:9">
      <c r="A17" s="71"/>
      <c r="B17" s="71"/>
      <c r="C17" s="10"/>
      <c r="D17" s="13" t="s">
        <v>62</v>
      </c>
      <c r="E17" s="122">
        <v>18411</v>
      </c>
      <c r="F17" s="15" t="s">
        <v>29</v>
      </c>
      <c r="G17" s="43">
        <f t="shared" si="0"/>
        <v>0.43807777785</v>
      </c>
      <c r="H17" s="15" t="s">
        <v>29</v>
      </c>
      <c r="I17" s="43">
        <f t="shared" si="1"/>
        <v>0.43807777785</v>
      </c>
    </row>
    <row r="18" ht="15.75" spans="1:9">
      <c r="A18" s="71"/>
      <c r="B18" s="71"/>
      <c r="C18" s="10"/>
      <c r="D18" s="13" t="s">
        <v>60</v>
      </c>
      <c r="E18" s="42">
        <v>39018</v>
      </c>
      <c r="F18" s="15" t="s">
        <v>29</v>
      </c>
      <c r="G18" s="43">
        <f t="shared" si="0"/>
        <v>0.9284079483</v>
      </c>
      <c r="H18" s="15" t="s">
        <v>29</v>
      </c>
      <c r="I18" s="43">
        <f t="shared" si="1"/>
        <v>0.9284079483</v>
      </c>
    </row>
    <row r="19" ht="15.75" spans="1:9">
      <c r="A19" s="71"/>
      <c r="B19" s="71"/>
      <c r="C19" s="10"/>
      <c r="D19" s="13" t="s">
        <v>304</v>
      </c>
      <c r="E19" s="42">
        <v>69675</v>
      </c>
      <c r="F19" s="15" t="s">
        <v>29</v>
      </c>
      <c r="G19" s="43">
        <f t="shared" si="0"/>
        <v>1.65787133625</v>
      </c>
      <c r="H19" s="15" t="s">
        <v>29</v>
      </c>
      <c r="I19" s="43">
        <f t="shared" si="1"/>
        <v>1.65787133625</v>
      </c>
    </row>
    <row r="20" ht="15.75" spans="1:9">
      <c r="A20" s="71"/>
      <c r="B20" s="71"/>
      <c r="C20" s="10"/>
      <c r="D20" s="13" t="s">
        <v>274</v>
      </c>
      <c r="E20" s="42">
        <v>24144</v>
      </c>
      <c r="F20" s="15" t="s">
        <v>29</v>
      </c>
      <c r="G20" s="43">
        <f t="shared" si="0"/>
        <v>0.5744907864</v>
      </c>
      <c r="H20" s="15" t="s">
        <v>29</v>
      </c>
      <c r="I20" s="43">
        <f t="shared" si="1"/>
        <v>0.5744907864</v>
      </c>
    </row>
    <row r="21" ht="15.75" spans="1:9">
      <c r="A21" s="71"/>
      <c r="B21" s="71"/>
      <c r="C21" s="10"/>
      <c r="D21" s="13" t="s">
        <v>275</v>
      </c>
      <c r="E21" s="42">
        <v>12384</v>
      </c>
      <c r="F21" s="15" t="s">
        <v>29</v>
      </c>
      <c r="G21" s="43">
        <f t="shared" si="0"/>
        <v>0.2946692304</v>
      </c>
      <c r="H21" s="15" t="s">
        <v>29</v>
      </c>
      <c r="I21" s="43">
        <f t="shared" si="1"/>
        <v>0.2946692304</v>
      </c>
    </row>
    <row r="22" ht="15.75" spans="1:11">
      <c r="A22" s="71">
        <v>3</v>
      </c>
      <c r="B22" s="71">
        <v>2001</v>
      </c>
      <c r="C22" s="10" t="s">
        <v>60</v>
      </c>
      <c r="D22" s="13" t="s">
        <v>277</v>
      </c>
      <c r="E22" s="42">
        <v>81</v>
      </c>
      <c r="F22" s="19">
        <v>37</v>
      </c>
      <c r="G22" s="43">
        <f t="shared" si="0"/>
        <v>0.00192734235</v>
      </c>
      <c r="H22" s="20">
        <v>0.000857725681334252</v>
      </c>
      <c r="I22" s="127">
        <f t="shared" ref="I22:I39" si="2">G22+H22</f>
        <v>0.00278506803133425</v>
      </c>
      <c r="K22" s="53"/>
    </row>
    <row r="23" ht="15.75" spans="1:11">
      <c r="A23" s="71"/>
      <c r="B23" s="71"/>
      <c r="C23" s="10"/>
      <c r="D23" s="13" t="s">
        <v>62</v>
      </c>
      <c r="E23" s="42">
        <v>21731</v>
      </c>
      <c r="F23" s="19">
        <v>29433</v>
      </c>
      <c r="G23" s="43">
        <f t="shared" si="0"/>
        <v>0.51707501985</v>
      </c>
      <c r="H23" s="20">
        <v>0.6407963344589</v>
      </c>
      <c r="I23" s="127">
        <f t="shared" si="2"/>
        <v>1.1578713543089</v>
      </c>
      <c r="K23" s="53"/>
    </row>
    <row r="24" ht="15.75" spans="1:11">
      <c r="A24" s="71"/>
      <c r="B24" s="71"/>
      <c r="C24" s="10"/>
      <c r="D24" s="13" t="s">
        <v>60</v>
      </c>
      <c r="E24" s="42">
        <v>46055</v>
      </c>
      <c r="F24" s="19">
        <v>33922</v>
      </c>
      <c r="G24" s="43">
        <f t="shared" si="0"/>
        <v>1.09584878925</v>
      </c>
      <c r="H24" s="20">
        <v>0.680858549618592</v>
      </c>
      <c r="I24" s="127">
        <f t="shared" si="2"/>
        <v>1.77670733886859</v>
      </c>
      <c r="K24" s="53"/>
    </row>
    <row r="25" ht="15.75" spans="1:11">
      <c r="A25" s="71"/>
      <c r="B25" s="71"/>
      <c r="C25" s="10"/>
      <c r="D25" s="13" t="s">
        <v>304</v>
      </c>
      <c r="E25" s="42">
        <v>82242</v>
      </c>
      <c r="F25" s="19">
        <v>74159</v>
      </c>
      <c r="G25" s="43">
        <f t="shared" si="0"/>
        <v>1.9568949327</v>
      </c>
      <c r="H25" s="20">
        <v>1.34654452128891</v>
      </c>
      <c r="I25" s="127">
        <f t="shared" si="2"/>
        <v>3.30343945398891</v>
      </c>
      <c r="K25" s="53"/>
    </row>
    <row r="26" ht="15.75" spans="1:11">
      <c r="A26" s="71"/>
      <c r="B26" s="71"/>
      <c r="C26" s="10"/>
      <c r="D26" s="13" t="s">
        <v>274</v>
      </c>
      <c r="E26" s="42">
        <v>28499</v>
      </c>
      <c r="F26" s="19">
        <v>21600</v>
      </c>
      <c r="G26" s="43">
        <f t="shared" si="0"/>
        <v>0.67811518065</v>
      </c>
      <c r="H26" s="20">
        <v>0.444272014613635</v>
      </c>
      <c r="I26" s="127">
        <f t="shared" si="2"/>
        <v>1.12238719526364</v>
      </c>
      <c r="K26" s="53"/>
    </row>
    <row r="27" ht="15.75" spans="1:11">
      <c r="A27" s="71"/>
      <c r="B27" s="71"/>
      <c r="C27" s="10"/>
      <c r="D27" s="13" t="s">
        <v>275</v>
      </c>
      <c r="E27" s="42">
        <v>14618</v>
      </c>
      <c r="F27" s="19">
        <v>12308</v>
      </c>
      <c r="G27" s="43">
        <f t="shared" si="0"/>
        <v>0.3478258083</v>
      </c>
      <c r="H27" s="20">
        <v>0.229393796631055</v>
      </c>
      <c r="I27" s="127">
        <f t="shared" si="2"/>
        <v>0.577219604931055</v>
      </c>
      <c r="K27" s="53"/>
    </row>
    <row r="28" ht="15.75" spans="1:11">
      <c r="A28" s="71">
        <v>4</v>
      </c>
      <c r="B28" s="71">
        <v>2011</v>
      </c>
      <c r="C28" s="10" t="s">
        <v>60</v>
      </c>
      <c r="D28" s="13" t="s">
        <v>277</v>
      </c>
      <c r="E28" s="42">
        <v>92</v>
      </c>
      <c r="F28" s="19">
        <v>62</v>
      </c>
      <c r="G28" s="43">
        <f t="shared" si="0"/>
        <v>0.0021890802</v>
      </c>
      <c r="H28" s="20">
        <v>0.001225429098759</v>
      </c>
      <c r="I28" s="127">
        <f t="shared" si="2"/>
        <v>0.003414509298759</v>
      </c>
      <c r="K28" s="53"/>
    </row>
    <row r="29" ht="15.75" spans="1:11">
      <c r="A29" s="71"/>
      <c r="B29" s="71"/>
      <c r="C29" s="10"/>
      <c r="D29" s="13" t="s">
        <v>62</v>
      </c>
      <c r="E29" s="42">
        <v>24737</v>
      </c>
      <c r="F29" s="19">
        <v>31838</v>
      </c>
      <c r="G29" s="43">
        <f t="shared" si="0"/>
        <v>0.58860083595</v>
      </c>
      <c r="H29" s="20">
        <v>0.694185979076304</v>
      </c>
      <c r="I29" s="127">
        <f t="shared" si="2"/>
        <v>1.2827868150263</v>
      </c>
      <c r="K29" s="53"/>
    </row>
    <row r="30" ht="15.75" spans="1:11">
      <c r="A30" s="71"/>
      <c r="B30" s="71"/>
      <c r="C30" s="10"/>
      <c r="D30" s="13" t="s">
        <v>60</v>
      </c>
      <c r="E30" s="42">
        <v>52426</v>
      </c>
      <c r="F30" s="19">
        <v>57457</v>
      </c>
      <c r="G30" s="43">
        <f t="shared" si="0"/>
        <v>1.2474425931</v>
      </c>
      <c r="H30" s="20">
        <v>0.861551826064884</v>
      </c>
      <c r="I30" s="127">
        <f t="shared" si="2"/>
        <v>2.10899441916488</v>
      </c>
      <c r="K30" s="53"/>
    </row>
    <row r="31" ht="15.75" spans="1:11">
      <c r="A31" s="71"/>
      <c r="B31" s="71"/>
      <c r="C31" s="10"/>
      <c r="D31" s="13" t="s">
        <v>304</v>
      </c>
      <c r="E31" s="42">
        <v>93618</v>
      </c>
      <c r="F31" s="19">
        <v>68091</v>
      </c>
      <c r="G31" s="43">
        <f t="shared" si="0"/>
        <v>2.2275794583</v>
      </c>
      <c r="H31" s="20">
        <v>1.3850475061059</v>
      </c>
      <c r="I31" s="127">
        <f t="shared" si="2"/>
        <v>3.6126269644059</v>
      </c>
      <c r="K31" s="53"/>
    </row>
    <row r="32" ht="15.75" spans="1:11">
      <c r="A32" s="71"/>
      <c r="B32" s="71"/>
      <c r="C32" s="10"/>
      <c r="D32" s="13" t="s">
        <v>274</v>
      </c>
      <c r="E32" s="42">
        <v>32441</v>
      </c>
      <c r="F32" s="19">
        <v>31720</v>
      </c>
      <c r="G32" s="43">
        <f t="shared" si="0"/>
        <v>0.77191250835</v>
      </c>
      <c r="H32" s="20">
        <v>0.604762539932739</v>
      </c>
      <c r="I32" s="127">
        <f t="shared" si="2"/>
        <v>1.37667504828274</v>
      </c>
      <c r="K32" s="53"/>
    </row>
    <row r="33" ht="15.75" spans="1:11">
      <c r="A33" s="71"/>
      <c r="B33" s="71"/>
      <c r="C33" s="10"/>
      <c r="D33" s="13" t="s">
        <v>275</v>
      </c>
      <c r="E33" s="42">
        <v>16640</v>
      </c>
      <c r="F33" s="19">
        <v>10374</v>
      </c>
      <c r="G33" s="43">
        <f t="shared" si="0"/>
        <v>0.395937984</v>
      </c>
      <c r="H33" s="20">
        <v>0.2160956478201</v>
      </c>
      <c r="I33" s="127">
        <f t="shared" si="2"/>
        <v>0.6120336318201</v>
      </c>
      <c r="K33" s="53"/>
    </row>
    <row r="34" ht="15.75" spans="1:11">
      <c r="A34" s="71">
        <v>5</v>
      </c>
      <c r="B34" s="71">
        <v>2021</v>
      </c>
      <c r="C34" s="10" t="s">
        <v>60</v>
      </c>
      <c r="D34" s="13" t="s">
        <v>277</v>
      </c>
      <c r="E34" s="42">
        <v>106</v>
      </c>
      <c r="F34" s="19">
        <v>68</v>
      </c>
      <c r="G34" s="43">
        <f t="shared" si="0"/>
        <v>0.0025222011</v>
      </c>
      <c r="H34" s="20">
        <v>0.00105236631226607</v>
      </c>
      <c r="I34" s="127">
        <f t="shared" si="2"/>
        <v>0.00357456741226607</v>
      </c>
      <c r="K34" s="53"/>
    </row>
    <row r="35" ht="15.75" spans="1:11">
      <c r="A35" s="71"/>
      <c r="B35" s="71"/>
      <c r="C35" s="10"/>
      <c r="D35" s="13" t="s">
        <v>62</v>
      </c>
      <c r="E35" s="42">
        <v>28241</v>
      </c>
      <c r="F35" s="19">
        <v>17333</v>
      </c>
      <c r="G35" s="43">
        <f t="shared" si="0"/>
        <v>0.67197623835</v>
      </c>
      <c r="H35" s="20">
        <v>0.429392951565525</v>
      </c>
      <c r="I35" s="127">
        <f t="shared" si="2"/>
        <v>1.10136918991552</v>
      </c>
      <c r="K35" s="53"/>
    </row>
    <row r="36" ht="15.75" spans="1:11">
      <c r="A36" s="71"/>
      <c r="B36" s="71"/>
      <c r="C36" s="10"/>
      <c r="D36" s="13" t="s">
        <v>60</v>
      </c>
      <c r="E36" s="42">
        <v>59851</v>
      </c>
      <c r="F36" s="19">
        <v>22327</v>
      </c>
      <c r="G36" s="43">
        <f t="shared" si="0"/>
        <v>1.42411564185</v>
      </c>
      <c r="H36" s="20">
        <v>0.551875524788186</v>
      </c>
      <c r="I36" s="127">
        <f t="shared" si="2"/>
        <v>1.97599116663819</v>
      </c>
      <c r="K36" s="53"/>
    </row>
    <row r="37" ht="15.75" spans="1:11">
      <c r="A37" s="71"/>
      <c r="B37" s="71"/>
      <c r="C37" s="10"/>
      <c r="D37" s="13" t="s">
        <v>304</v>
      </c>
      <c r="E37" s="42">
        <v>106877</v>
      </c>
      <c r="F37" s="19">
        <v>38030</v>
      </c>
      <c r="G37" s="43">
        <f t="shared" si="0"/>
        <v>2.54306874495</v>
      </c>
      <c r="H37" s="20">
        <v>1.02169112058334</v>
      </c>
      <c r="I37" s="127">
        <f t="shared" si="2"/>
        <v>3.56475986553334</v>
      </c>
      <c r="K37" s="53"/>
    </row>
    <row r="38" ht="15.75" spans="1:11">
      <c r="A38" s="71"/>
      <c r="B38" s="71"/>
      <c r="C38" s="10"/>
      <c r="D38" s="13" t="s">
        <v>274</v>
      </c>
      <c r="E38" s="42">
        <v>37036</v>
      </c>
      <c r="F38" s="19">
        <v>28312</v>
      </c>
      <c r="G38" s="43">
        <f t="shared" si="0"/>
        <v>0.8812475466</v>
      </c>
      <c r="H38" s="20">
        <v>0.594784522639398</v>
      </c>
      <c r="I38" s="127">
        <f t="shared" si="2"/>
        <v>1.4760320692394</v>
      </c>
      <c r="K38" s="53"/>
    </row>
    <row r="39" ht="15.75" spans="1:11">
      <c r="A39" s="71"/>
      <c r="B39" s="71"/>
      <c r="C39" s="10"/>
      <c r="D39" s="13" t="s">
        <v>275</v>
      </c>
      <c r="E39" s="42">
        <v>18997</v>
      </c>
      <c r="F39" s="19">
        <v>35368</v>
      </c>
      <c r="G39" s="43">
        <f t="shared" si="0"/>
        <v>0.45202126695</v>
      </c>
      <c r="H39" s="20">
        <v>0.204648005079571</v>
      </c>
      <c r="I39" s="127">
        <f t="shared" si="2"/>
        <v>0.656669272029571</v>
      </c>
      <c r="K39" s="53"/>
    </row>
    <row r="40" ht="15.75" spans="1:11">
      <c r="A40" s="115"/>
      <c r="B40" s="115"/>
      <c r="C40" s="25"/>
      <c r="D40" s="26"/>
      <c r="E40" s="123"/>
      <c r="F40" s="28"/>
      <c r="G40" s="117"/>
      <c r="H40" s="30"/>
      <c r="I40" s="128"/>
      <c r="K40" s="53"/>
    </row>
    <row r="41" ht="15.75" spans="1:11">
      <c r="A41" s="5" t="s">
        <v>81</v>
      </c>
      <c r="B41" s="5"/>
      <c r="C41" s="5"/>
      <c r="D41" s="5"/>
      <c r="E41" s="124" t="s">
        <v>8</v>
      </c>
      <c r="F41" s="124"/>
      <c r="G41" s="124"/>
      <c r="H41" s="124"/>
      <c r="I41" s="124"/>
      <c r="K41" s="53"/>
    </row>
    <row r="42" ht="78.75" spans="1:11">
      <c r="A42" s="35" t="s">
        <v>103</v>
      </c>
      <c r="B42" s="69" t="s">
        <v>10</v>
      </c>
      <c r="C42" s="69" t="s">
        <v>11</v>
      </c>
      <c r="D42" s="69" t="s">
        <v>83</v>
      </c>
      <c r="E42" s="69" t="s">
        <v>13</v>
      </c>
      <c r="F42" s="69" t="s">
        <v>84</v>
      </c>
      <c r="G42" s="69" t="s">
        <v>15</v>
      </c>
      <c r="H42" s="69" t="s">
        <v>16</v>
      </c>
      <c r="I42" s="69" t="s">
        <v>17</v>
      </c>
      <c r="K42" s="53"/>
    </row>
    <row r="43" ht="15.75" spans="1:11">
      <c r="A43" s="9" t="s">
        <v>18</v>
      </c>
      <c r="B43" s="10" t="s">
        <v>19</v>
      </c>
      <c r="C43" s="9" t="s">
        <v>20</v>
      </c>
      <c r="D43" s="10" t="s">
        <v>21</v>
      </c>
      <c r="E43" s="10" t="s">
        <v>22</v>
      </c>
      <c r="F43" s="10" t="s">
        <v>23</v>
      </c>
      <c r="G43" s="10" t="s">
        <v>24</v>
      </c>
      <c r="H43" s="10" t="s">
        <v>25</v>
      </c>
      <c r="I43" s="10" t="s">
        <v>26</v>
      </c>
      <c r="K43" s="53"/>
    </row>
    <row r="44" ht="31.5" customHeight="1" spans="1:11">
      <c r="A44" s="84">
        <v>1</v>
      </c>
      <c r="B44" s="84">
        <v>1981</v>
      </c>
      <c r="C44" s="21" t="s">
        <v>60</v>
      </c>
      <c r="D44" s="125" t="s">
        <v>60</v>
      </c>
      <c r="E44" s="15">
        <v>69791</v>
      </c>
      <c r="F44" s="15" t="s">
        <v>29</v>
      </c>
      <c r="G44" s="43">
        <f t="shared" ref="G44:G51" si="3">E44*(162*365)/POWER(10,9)</f>
        <v>4.12674183</v>
      </c>
      <c r="H44" s="15" t="s">
        <v>29</v>
      </c>
      <c r="I44" s="127">
        <f>G44</f>
        <v>4.12674183</v>
      </c>
      <c r="K44" s="53"/>
    </row>
    <row r="45" ht="32.25" customHeight="1" spans="1:9">
      <c r="A45" s="83">
        <v>2</v>
      </c>
      <c r="B45" s="83">
        <v>1991</v>
      </c>
      <c r="C45" s="17" t="s">
        <v>60</v>
      </c>
      <c r="D45" s="125" t="s">
        <v>60</v>
      </c>
      <c r="E45" s="15">
        <v>90265</v>
      </c>
      <c r="F45" s="15" t="s">
        <v>29</v>
      </c>
      <c r="G45" s="43">
        <f t="shared" si="3"/>
        <v>5.33736945</v>
      </c>
      <c r="H45" s="15" t="s">
        <v>29</v>
      </c>
      <c r="I45" s="127">
        <f>G45</f>
        <v>5.33736945</v>
      </c>
    </row>
    <row r="46" ht="15.75" spans="1:9">
      <c r="A46" s="71">
        <v>3</v>
      </c>
      <c r="B46" s="71">
        <v>2001</v>
      </c>
      <c r="C46" s="9" t="s">
        <v>60</v>
      </c>
      <c r="D46" s="125" t="s">
        <v>60</v>
      </c>
      <c r="E46" s="15">
        <v>111154</v>
      </c>
      <c r="F46" s="19">
        <v>13025</v>
      </c>
      <c r="G46" s="43">
        <f t="shared" si="3"/>
        <v>6.57253602</v>
      </c>
      <c r="H46" s="20">
        <v>0.127227031989197</v>
      </c>
      <c r="I46" s="127">
        <f>G46+H46</f>
        <v>6.6997630519892</v>
      </c>
    </row>
    <row r="47" ht="15.75" spans="1:9">
      <c r="A47" s="71"/>
      <c r="B47" s="71"/>
      <c r="C47" s="9"/>
      <c r="D47" s="125" t="s">
        <v>309</v>
      </c>
      <c r="E47" s="15">
        <v>5496</v>
      </c>
      <c r="F47" s="15" t="s">
        <v>29</v>
      </c>
      <c r="G47" s="43">
        <f t="shared" si="3"/>
        <v>0.32497848</v>
      </c>
      <c r="H47" s="15" t="s">
        <v>29</v>
      </c>
      <c r="I47" s="127">
        <f>G47</f>
        <v>0.32497848</v>
      </c>
    </row>
    <row r="48" ht="15.75" spans="1:9">
      <c r="A48" s="71">
        <v>4</v>
      </c>
      <c r="B48" s="71">
        <v>2011</v>
      </c>
      <c r="C48" s="9" t="s">
        <v>60</v>
      </c>
      <c r="D48" s="125" t="s">
        <v>60</v>
      </c>
      <c r="E48" s="15">
        <v>150019</v>
      </c>
      <c r="F48" s="19">
        <v>8301</v>
      </c>
      <c r="G48" s="43">
        <f t="shared" si="3"/>
        <v>8.87062347</v>
      </c>
      <c r="H48" s="20">
        <v>0.0489658815</v>
      </c>
      <c r="I48" s="127">
        <f>G48+H48</f>
        <v>8.9195893515</v>
      </c>
    </row>
    <row r="49" ht="15.75" spans="1:9">
      <c r="A49" s="71"/>
      <c r="B49" s="71"/>
      <c r="C49" s="9"/>
      <c r="D49" s="125" t="s">
        <v>309</v>
      </c>
      <c r="E49" s="15">
        <v>13102</v>
      </c>
      <c r="F49" s="19">
        <v>8660</v>
      </c>
      <c r="G49" s="43">
        <f t="shared" si="3"/>
        <v>0.77472126</v>
      </c>
      <c r="H49" s="20">
        <v>0.071607525</v>
      </c>
      <c r="I49" s="127">
        <f>G49+H49</f>
        <v>0.846328785</v>
      </c>
    </row>
    <row r="50" ht="15.75" spans="1:9">
      <c r="A50" s="71">
        <v>5</v>
      </c>
      <c r="B50" s="71">
        <v>2021</v>
      </c>
      <c r="C50" s="9" t="s">
        <v>60</v>
      </c>
      <c r="D50" s="125" t="s">
        <v>60</v>
      </c>
      <c r="E50" s="15">
        <v>185957</v>
      </c>
      <c r="F50" s="19">
        <v>16970</v>
      </c>
      <c r="G50" s="43">
        <f t="shared" si="3"/>
        <v>10.99563741</v>
      </c>
      <c r="H50" s="20">
        <v>0.312693896607143</v>
      </c>
      <c r="I50" s="127">
        <f>G50+H50</f>
        <v>11.3083313066071</v>
      </c>
    </row>
    <row r="51" ht="15.75" spans="1:9">
      <c r="A51" s="71"/>
      <c r="B51" s="71"/>
      <c r="C51" s="9"/>
      <c r="D51" s="125" t="s">
        <v>309</v>
      </c>
      <c r="E51" s="15">
        <v>20708</v>
      </c>
      <c r="F51" s="19">
        <v>197</v>
      </c>
      <c r="G51" s="43">
        <f t="shared" si="3"/>
        <v>1.22446404</v>
      </c>
      <c r="H51" s="20">
        <v>0.00216403285714286</v>
      </c>
      <c r="I51" s="127">
        <f>G51+H51</f>
        <v>1.22662807285714</v>
      </c>
    </row>
    <row r="52" ht="15.75" spans="1:9">
      <c r="A52" s="115"/>
      <c r="B52" s="115"/>
      <c r="C52" s="25"/>
      <c r="D52" s="26"/>
      <c r="E52" s="123"/>
      <c r="F52" s="28"/>
      <c r="G52" s="117"/>
      <c r="H52" s="30"/>
      <c r="I52" s="128"/>
    </row>
    <row r="53" ht="18.75" spans="1:9">
      <c r="A53" s="39" t="s">
        <v>102</v>
      </c>
      <c r="B53" s="39"/>
      <c r="C53" s="39"/>
      <c r="D53" s="39"/>
      <c r="E53" s="39"/>
      <c r="F53" s="39"/>
      <c r="G53" s="39"/>
      <c r="H53" s="39"/>
      <c r="I53" s="39"/>
    </row>
    <row r="54" ht="15.75" spans="1:9">
      <c r="A54" s="40" t="s">
        <v>7</v>
      </c>
      <c r="B54" s="40"/>
      <c r="C54" s="40"/>
      <c r="D54" s="40"/>
      <c r="E54" s="40"/>
      <c r="F54" s="126" t="s">
        <v>8</v>
      </c>
      <c r="G54" s="126"/>
      <c r="H54" s="126"/>
      <c r="I54" s="126"/>
    </row>
    <row r="55" ht="47.25" spans="1:9">
      <c r="A55" s="9" t="s">
        <v>9</v>
      </c>
      <c r="B55" s="10" t="s">
        <v>104</v>
      </c>
      <c r="C55" s="9" t="s">
        <v>11</v>
      </c>
      <c r="D55" s="9" t="s">
        <v>12</v>
      </c>
      <c r="E55" s="10" t="s">
        <v>13</v>
      </c>
      <c r="F55" s="10" t="s">
        <v>84</v>
      </c>
      <c r="G55" s="10" t="s">
        <v>15</v>
      </c>
      <c r="H55" s="10" t="s">
        <v>16</v>
      </c>
      <c r="I55" s="10" t="s">
        <v>17</v>
      </c>
    </row>
    <row r="56" ht="15.75" spans="1:9">
      <c r="A56" s="9" t="s">
        <v>18</v>
      </c>
      <c r="B56" s="10" t="s">
        <v>19</v>
      </c>
      <c r="C56" s="9" t="s">
        <v>20</v>
      </c>
      <c r="D56" s="10" t="s">
        <v>21</v>
      </c>
      <c r="E56" s="10" t="s">
        <v>22</v>
      </c>
      <c r="F56" s="10" t="s">
        <v>23</v>
      </c>
      <c r="G56" s="10" t="s">
        <v>24</v>
      </c>
      <c r="H56" s="10" t="s">
        <v>25</v>
      </c>
      <c r="I56" s="10" t="s">
        <v>26</v>
      </c>
    </row>
    <row r="57" ht="15.75" spans="1:9">
      <c r="A57" s="71">
        <v>1</v>
      </c>
      <c r="B57" s="71">
        <v>2025</v>
      </c>
      <c r="C57" s="10" t="s">
        <v>60</v>
      </c>
      <c r="D57" s="9" t="s">
        <v>277</v>
      </c>
      <c r="E57" s="14">
        <v>112</v>
      </c>
      <c r="F57" s="19">
        <v>69</v>
      </c>
      <c r="G57" s="16">
        <f>E57*(65.19*365)/POWER(10,9)</f>
        <v>0.0026649672</v>
      </c>
      <c r="H57" s="20">
        <v>0.000976312447473214</v>
      </c>
      <c r="I57" s="43">
        <f t="shared" ref="I57:I68" si="4">G57+H57</f>
        <v>0.00364127964747321</v>
      </c>
    </row>
    <row r="58" ht="15.75" spans="1:9">
      <c r="A58" s="71"/>
      <c r="B58" s="71"/>
      <c r="C58" s="10"/>
      <c r="D58" s="9" t="s">
        <v>62</v>
      </c>
      <c r="E58" s="14">
        <v>29972</v>
      </c>
      <c r="F58" s="19">
        <v>12921</v>
      </c>
      <c r="G58" s="16">
        <f t="shared" ref="G58:G68" si="5">E58*(65.19*365)/POWER(10,9)</f>
        <v>0.7131642582</v>
      </c>
      <c r="H58" s="20">
        <v>0.310684799550686</v>
      </c>
      <c r="I58" s="43">
        <f t="shared" si="4"/>
        <v>1.02384905775069</v>
      </c>
    </row>
    <row r="59" ht="15.75" spans="1:9">
      <c r="A59" s="71"/>
      <c r="B59" s="71"/>
      <c r="C59" s="10"/>
      <c r="D59" s="9" t="s">
        <v>60</v>
      </c>
      <c r="E59" s="14">
        <v>63520</v>
      </c>
      <c r="F59" s="19">
        <v>17392</v>
      </c>
      <c r="G59" s="16">
        <f t="shared" si="5"/>
        <v>1.511417112</v>
      </c>
      <c r="H59" s="20">
        <v>0.465360549478971</v>
      </c>
      <c r="I59" s="43">
        <f t="shared" si="4"/>
        <v>1.97677766147897</v>
      </c>
    </row>
    <row r="60" ht="19.5" customHeight="1" spans="1:9">
      <c r="A60" s="71"/>
      <c r="B60" s="71"/>
      <c r="C60" s="10"/>
      <c r="D60" s="9" t="s">
        <v>304</v>
      </c>
      <c r="E60" s="14">
        <v>113429</v>
      </c>
      <c r="F60" s="19">
        <v>27895</v>
      </c>
      <c r="G60" s="16">
        <f t="shared" si="5"/>
        <v>2.69896932615</v>
      </c>
      <c r="H60" s="20">
        <v>0.896674928754343</v>
      </c>
      <c r="I60" s="43">
        <f t="shared" si="4"/>
        <v>3.59564425490434</v>
      </c>
    </row>
    <row r="61" ht="15.75" spans="1:9">
      <c r="A61" s="71"/>
      <c r="B61" s="71"/>
      <c r="C61" s="10"/>
      <c r="D61" s="9" t="s">
        <v>274</v>
      </c>
      <c r="E61" s="42">
        <v>39306</v>
      </c>
      <c r="F61" s="19">
        <v>27270</v>
      </c>
      <c r="G61" s="16">
        <f t="shared" si="5"/>
        <v>0.9352607211</v>
      </c>
      <c r="H61" s="20">
        <v>0.60131907110242</v>
      </c>
      <c r="I61" s="43">
        <f t="shared" si="4"/>
        <v>1.53657979220242</v>
      </c>
    </row>
    <row r="62" ht="15.75" spans="1:9">
      <c r="A62" s="71"/>
      <c r="B62" s="71"/>
      <c r="C62" s="10"/>
      <c r="D62" s="9" t="s">
        <v>275</v>
      </c>
      <c r="E62" s="42">
        <v>20162</v>
      </c>
      <c r="F62" s="19">
        <v>46357</v>
      </c>
      <c r="G62" s="16">
        <f t="shared" si="5"/>
        <v>0.4797416847</v>
      </c>
      <c r="H62" s="20">
        <v>0.200639377228714</v>
      </c>
      <c r="I62" s="43">
        <f t="shared" si="4"/>
        <v>0.680381061928714</v>
      </c>
    </row>
    <row r="63" ht="15.75" spans="1:9">
      <c r="A63" s="71">
        <v>2</v>
      </c>
      <c r="B63" s="71">
        <v>2050</v>
      </c>
      <c r="C63" s="10" t="s">
        <v>60</v>
      </c>
      <c r="D63" s="9" t="s">
        <v>277</v>
      </c>
      <c r="E63" s="42">
        <v>168</v>
      </c>
      <c r="F63" s="19">
        <v>84</v>
      </c>
      <c r="G63" s="16">
        <f t="shared" si="5"/>
        <v>0.0039974508</v>
      </c>
      <c r="H63" s="20">
        <v>0.000659945530446429</v>
      </c>
      <c r="I63" s="43">
        <f t="shared" si="4"/>
        <v>0.00465739633044643</v>
      </c>
    </row>
    <row r="64" ht="15.75" spans="1:9">
      <c r="A64" s="71"/>
      <c r="B64" s="71"/>
      <c r="C64" s="10"/>
      <c r="D64" s="9" t="s">
        <v>62</v>
      </c>
      <c r="E64" s="42">
        <v>45063</v>
      </c>
      <c r="F64" s="19">
        <v>6334</v>
      </c>
      <c r="G64" s="16">
        <f t="shared" si="5"/>
        <v>1.07224479405</v>
      </c>
      <c r="H64" s="20">
        <v>0.0417395326401857</v>
      </c>
      <c r="I64" s="43">
        <f t="shared" si="4"/>
        <v>1.11398432669019</v>
      </c>
    </row>
    <row r="65" ht="15.75" spans="1:9">
      <c r="A65" s="71"/>
      <c r="B65" s="71"/>
      <c r="C65" s="10"/>
      <c r="D65" s="9" t="s">
        <v>60</v>
      </c>
      <c r="E65" s="42">
        <v>95503</v>
      </c>
      <c r="F65" s="19">
        <v>5285</v>
      </c>
      <c r="G65" s="16">
        <f t="shared" si="5"/>
        <v>2.27243180805</v>
      </c>
      <c r="H65" s="20">
        <v>0.0370187500721143</v>
      </c>
      <c r="I65" s="43">
        <f t="shared" si="4"/>
        <v>2.30945055812211</v>
      </c>
    </row>
    <row r="66" ht="15.75" spans="1:9">
      <c r="A66" s="71"/>
      <c r="B66" s="71"/>
      <c r="C66" s="10"/>
      <c r="D66" s="9" t="s">
        <v>304</v>
      </c>
      <c r="E66" s="42">
        <v>170543</v>
      </c>
      <c r="F66" s="19">
        <v>9216</v>
      </c>
      <c r="G66" s="16">
        <f t="shared" si="5"/>
        <v>4.05795983205</v>
      </c>
      <c r="H66" s="20">
        <v>0.369394602148286</v>
      </c>
      <c r="I66" s="43">
        <f t="shared" si="4"/>
        <v>4.42735443419829</v>
      </c>
    </row>
    <row r="67" ht="15.75" spans="1:9">
      <c r="A67" s="71"/>
      <c r="B67" s="71"/>
      <c r="C67" s="10"/>
      <c r="D67" s="9" t="s">
        <v>274</v>
      </c>
      <c r="E67" s="42">
        <v>59098</v>
      </c>
      <c r="F67" s="19">
        <v>34486</v>
      </c>
      <c r="G67" s="16">
        <f t="shared" si="5"/>
        <v>1.4061984963</v>
      </c>
      <c r="H67" s="20">
        <v>0.675989694714943</v>
      </c>
      <c r="I67" s="43">
        <f t="shared" si="4"/>
        <v>2.08218819101494</v>
      </c>
    </row>
    <row r="68" ht="15.75" spans="1:9">
      <c r="A68" s="71"/>
      <c r="B68" s="71"/>
      <c r="C68" s="10"/>
      <c r="D68" s="9" t="s">
        <v>275</v>
      </c>
      <c r="E68" s="42">
        <v>30313</v>
      </c>
      <c r="F68" s="19">
        <v>115766</v>
      </c>
      <c r="G68" s="16">
        <f t="shared" si="5"/>
        <v>0.72127813155</v>
      </c>
      <c r="H68" s="20">
        <v>0.204770589109429</v>
      </c>
      <c r="I68" s="43">
        <f t="shared" si="4"/>
        <v>0.926048720659429</v>
      </c>
    </row>
    <row r="69" ht="15.75" spans="1:9">
      <c r="A69" s="115"/>
      <c r="B69" s="115"/>
      <c r="C69" s="25"/>
      <c r="D69" s="26"/>
      <c r="E69" s="123"/>
      <c r="F69" s="28"/>
      <c r="G69" s="117"/>
      <c r="H69" s="30"/>
      <c r="I69" s="128"/>
    </row>
    <row r="70" ht="15.75" spans="1:9">
      <c r="A70" s="5" t="s">
        <v>105</v>
      </c>
      <c r="B70" s="24"/>
      <c r="C70" s="25"/>
      <c r="D70" s="24"/>
      <c r="E70" s="27"/>
      <c r="G70" s="6" t="s">
        <v>8</v>
      </c>
      <c r="H70" s="6"/>
      <c r="I70" s="6"/>
    </row>
    <row r="71" ht="78.75" spans="1:9">
      <c r="A71" s="35" t="s">
        <v>103</v>
      </c>
      <c r="B71" s="35" t="s">
        <v>104</v>
      </c>
      <c r="C71" s="35" t="s">
        <v>11</v>
      </c>
      <c r="D71" s="35" t="s">
        <v>106</v>
      </c>
      <c r="E71" s="35" t="s">
        <v>13</v>
      </c>
      <c r="F71" s="35" t="s">
        <v>84</v>
      </c>
      <c r="G71" s="35" t="s">
        <v>15</v>
      </c>
      <c r="H71" s="35" t="s">
        <v>16</v>
      </c>
      <c r="I71" s="35" t="s">
        <v>17</v>
      </c>
    </row>
    <row r="72" ht="15.75" spans="1:9">
      <c r="A72" s="9" t="s">
        <v>18</v>
      </c>
      <c r="B72" s="10" t="s">
        <v>19</v>
      </c>
      <c r="C72" s="9" t="s">
        <v>20</v>
      </c>
      <c r="D72" s="10" t="s">
        <v>21</v>
      </c>
      <c r="E72" s="10" t="s">
        <v>22</v>
      </c>
      <c r="F72" s="10" t="s">
        <v>23</v>
      </c>
      <c r="G72" s="10" t="s">
        <v>24</v>
      </c>
      <c r="H72" s="10" t="s">
        <v>25</v>
      </c>
      <c r="I72" s="10" t="s">
        <v>26</v>
      </c>
    </row>
    <row r="73" ht="15.75" spans="1:9">
      <c r="A73" s="71">
        <v>1</v>
      </c>
      <c r="B73" s="71">
        <v>2025</v>
      </c>
      <c r="C73" s="9" t="s">
        <v>60</v>
      </c>
      <c r="D73" s="125" t="s">
        <v>60</v>
      </c>
      <c r="E73" s="19">
        <v>202907</v>
      </c>
      <c r="F73" s="19">
        <v>23753</v>
      </c>
      <c r="G73" s="43">
        <f t="shared" ref="G73:G76" si="6">E73*(162*365)/POWER(10,9)</f>
        <v>11.99789091</v>
      </c>
      <c r="H73" s="20">
        <v>0.446986782321428</v>
      </c>
      <c r="I73" s="20">
        <f>G73+H73</f>
        <v>12.4448776923214</v>
      </c>
    </row>
    <row r="74" ht="15.75" spans="1:9">
      <c r="A74" s="71"/>
      <c r="B74" s="71"/>
      <c r="C74" s="9"/>
      <c r="D74" s="125" t="s">
        <v>309</v>
      </c>
      <c r="E74" s="19">
        <v>23750</v>
      </c>
      <c r="F74" s="19">
        <v>250</v>
      </c>
      <c r="G74" s="43">
        <f t="shared" si="6"/>
        <v>1.4043375</v>
      </c>
      <c r="H74" s="20">
        <v>0.00263331857142857</v>
      </c>
      <c r="I74" s="20">
        <f>G74+H74</f>
        <v>1.40697081857143</v>
      </c>
    </row>
    <row r="75" ht="15.75" spans="1:9">
      <c r="A75" s="71">
        <v>2</v>
      </c>
      <c r="B75" s="71">
        <v>2050</v>
      </c>
      <c r="C75" s="9" t="s">
        <v>60</v>
      </c>
      <c r="D75" s="125" t="s">
        <v>60</v>
      </c>
      <c r="E75" s="19">
        <v>342178</v>
      </c>
      <c r="F75" s="19">
        <v>66146</v>
      </c>
      <c r="G75" s="43">
        <f t="shared" si="6"/>
        <v>20.23298514</v>
      </c>
      <c r="H75" s="20">
        <v>1.28631731803571</v>
      </c>
      <c r="I75" s="20">
        <f>G75+H75</f>
        <v>21.5193024580357</v>
      </c>
    </row>
    <row r="76" ht="15.75" spans="1:9">
      <c r="A76" s="71"/>
      <c r="B76" s="71"/>
      <c r="C76" s="9"/>
      <c r="D76" s="125" t="s">
        <v>309</v>
      </c>
      <c r="E76" s="19">
        <v>42765</v>
      </c>
      <c r="F76" s="19">
        <v>582</v>
      </c>
      <c r="G76" s="43">
        <f t="shared" si="6"/>
        <v>2.52869445</v>
      </c>
      <c r="H76" s="20">
        <v>0.00556635428571429</v>
      </c>
      <c r="I76" s="20">
        <f>G76+H76</f>
        <v>2.53426080428571</v>
      </c>
    </row>
    <row r="77" ht="15.75" spans="1:9">
      <c r="A77" s="115"/>
      <c r="B77" s="115"/>
      <c r="C77" s="25"/>
      <c r="D77" s="26"/>
      <c r="E77" s="123"/>
      <c r="F77" s="28"/>
      <c r="G77" s="117"/>
      <c r="H77" s="30"/>
      <c r="I77" s="128"/>
    </row>
    <row r="78" ht="15.6" customHeight="1" spans="1:9">
      <c r="A78" s="45" t="s">
        <v>108</v>
      </c>
      <c r="B78" s="7" t="s">
        <v>109</v>
      </c>
      <c r="C78" s="46"/>
      <c r="D78" s="46"/>
      <c r="E78" s="46"/>
      <c r="F78" s="46"/>
      <c r="G78" s="46"/>
      <c r="H78" s="46"/>
      <c r="I78" s="46"/>
    </row>
    <row r="79" ht="15.6" customHeight="1" spans="1:9">
      <c r="A79" s="46"/>
      <c r="B79" s="7" t="s">
        <v>110</v>
      </c>
      <c r="C79" s="47"/>
      <c r="D79" s="47"/>
      <c r="E79" s="47"/>
      <c r="F79" s="47"/>
      <c r="G79" s="47"/>
      <c r="H79" s="47"/>
      <c r="I79" s="47"/>
    </row>
    <row r="80" spans="2:2">
      <c r="B80" s="48" t="s">
        <v>111</v>
      </c>
    </row>
    <row r="81" s="2" customFormat="1" ht="15" customHeight="1" spans="2:2">
      <c r="B81" s="49" t="s">
        <v>112</v>
      </c>
    </row>
    <row r="82" s="2" customFormat="1" ht="15" customHeight="1" spans="2:2">
      <c r="B82" s="50" t="s">
        <v>113</v>
      </c>
    </row>
    <row r="83" s="2" customFormat="1" ht="15" customHeight="1" spans="2:2">
      <c r="B83" s="50" t="s">
        <v>114</v>
      </c>
    </row>
    <row r="84" s="2" customFormat="1" spans="2:2">
      <c r="B84" s="51"/>
    </row>
    <row r="85" s="2" customFormat="1" spans="2:2">
      <c r="B85" s="49" t="s">
        <v>115</v>
      </c>
    </row>
    <row r="86" s="2" customFormat="1" ht="16.5" customHeight="1" spans="2:2">
      <c r="B86" s="50" t="s">
        <v>116</v>
      </c>
    </row>
    <row r="87" s="2" customFormat="1" ht="16.5" customHeight="1" spans="2:2">
      <c r="B87" s="50" t="s">
        <v>117</v>
      </c>
    </row>
    <row r="88" spans="2:2">
      <c r="B88" s="55"/>
    </row>
    <row r="89" spans="2:2">
      <c r="B89" s="49" t="s">
        <v>118</v>
      </c>
    </row>
    <row r="90" spans="2:2">
      <c r="B90" s="56" t="s">
        <v>119</v>
      </c>
    </row>
    <row r="91" spans="2:2">
      <c r="B91" s="56" t="s">
        <v>120</v>
      </c>
    </row>
    <row r="92" spans="2:2">
      <c r="B92" s="56" t="s">
        <v>121</v>
      </c>
    </row>
    <row r="93" spans="2:2">
      <c r="B93" s="56" t="s">
        <v>122</v>
      </c>
    </row>
    <row r="94" spans="2:2">
      <c r="B94" s="49" t="s">
        <v>123</v>
      </c>
    </row>
    <row r="95" spans="2:2">
      <c r="B95" s="49" t="s">
        <v>124</v>
      </c>
    </row>
    <row r="96" spans="2:2">
      <c r="B96" s="56" t="s">
        <v>125</v>
      </c>
    </row>
    <row r="97" spans="2:2">
      <c r="B97" s="56" t="s">
        <v>126</v>
      </c>
    </row>
    <row r="98" spans="2:2">
      <c r="B98" s="56" t="s">
        <v>127</v>
      </c>
    </row>
    <row r="99" spans="2:2">
      <c r="B99" s="56" t="s">
        <v>128</v>
      </c>
    </row>
    <row r="100" spans="2:2">
      <c r="B100" s="56" t="s">
        <v>129</v>
      </c>
    </row>
    <row r="101" spans="2:2">
      <c r="B101" s="56"/>
    </row>
    <row r="102" spans="2:2">
      <c r="B102" s="49" t="s">
        <v>130</v>
      </c>
    </row>
    <row r="103" ht="15.75" spans="2:2">
      <c r="B103" s="57"/>
    </row>
    <row r="104" spans="2:2">
      <c r="B104" s="58" t="s">
        <v>131</v>
      </c>
    </row>
    <row r="105" spans="2:2">
      <c r="B105" s="58" t="s">
        <v>132</v>
      </c>
    </row>
    <row r="106" spans="2:2">
      <c r="B106" s="59" t="s">
        <v>133</v>
      </c>
    </row>
    <row r="108" ht="30" customHeight="1" spans="2:9">
      <c r="B108" s="119" t="s">
        <v>310</v>
      </c>
      <c r="C108" s="119"/>
      <c r="D108" s="119"/>
      <c r="E108" s="119"/>
      <c r="F108" s="119"/>
      <c r="G108" s="119"/>
      <c r="H108" s="119"/>
      <c r="I108" s="119"/>
    </row>
    <row r="109" ht="31.95" customHeight="1" spans="2:9">
      <c r="B109" s="119" t="s">
        <v>311</v>
      </c>
      <c r="C109" s="119"/>
      <c r="D109" s="119"/>
      <c r="E109" s="119"/>
      <c r="F109" s="119"/>
      <c r="G109" s="119"/>
      <c r="H109" s="119"/>
      <c r="I109" s="119"/>
    </row>
    <row r="114" ht="19.5" customHeight="1"/>
    <row r="115" ht="19.5" customHeight="1"/>
    <row r="116" ht="19.5" customHeight="1"/>
    <row r="117" ht="19.5" customHeight="1"/>
    <row r="118" ht="19.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31" ht="15" customHeight="1"/>
    <row r="132" ht="15" customHeight="1"/>
    <row r="133" ht="15" customHeight="1"/>
    <row r="136" ht="16.5" customHeight="1"/>
    <row r="137" ht="16.5" customHeight="1"/>
    <row r="138" ht="16.5" customHeight="1"/>
    <row r="139" ht="16.5" customHeight="1"/>
    <row r="140" ht="16.5" customHeight="1"/>
    <row r="153" ht="13.95" customHeight="1"/>
    <row r="154" ht="13.95" customHeight="1"/>
    <row r="155" ht="13.95" customHeight="1"/>
    <row r="156" ht="13.95" customHeight="1"/>
  </sheetData>
  <mergeCells count="52">
    <mergeCell ref="A2:I2"/>
    <mergeCell ref="A3:I3"/>
    <mergeCell ref="A4:I4"/>
    <mergeCell ref="A5:I5"/>
    <mergeCell ref="A6:I6"/>
    <mergeCell ref="A7:E7"/>
    <mergeCell ref="G7:I7"/>
    <mergeCell ref="A41:D41"/>
    <mergeCell ref="E41:I41"/>
    <mergeCell ref="A53:I53"/>
    <mergeCell ref="F54:I54"/>
    <mergeCell ref="G70:I70"/>
    <mergeCell ref="B78:I78"/>
    <mergeCell ref="B79:I79"/>
    <mergeCell ref="B108:I108"/>
    <mergeCell ref="B109:I109"/>
    <mergeCell ref="A10:A15"/>
    <mergeCell ref="A16:A21"/>
    <mergeCell ref="A22:A27"/>
    <mergeCell ref="A28:A33"/>
    <mergeCell ref="A34:A39"/>
    <mergeCell ref="A46:A47"/>
    <mergeCell ref="A48:A49"/>
    <mergeCell ref="A50:A51"/>
    <mergeCell ref="A57:A62"/>
    <mergeCell ref="A63:A68"/>
    <mergeCell ref="A73:A74"/>
    <mergeCell ref="A75:A76"/>
    <mergeCell ref="B10:B15"/>
    <mergeCell ref="B16:B21"/>
    <mergeCell ref="B22:B27"/>
    <mergeCell ref="B28:B33"/>
    <mergeCell ref="B34:B39"/>
    <mergeCell ref="B46:B47"/>
    <mergeCell ref="B48:B49"/>
    <mergeCell ref="B50:B51"/>
    <mergeCell ref="B57:B62"/>
    <mergeCell ref="B63:B68"/>
    <mergeCell ref="B73:B74"/>
    <mergeCell ref="B75:B76"/>
    <mergeCell ref="C10:C15"/>
    <mergeCell ref="C16:C21"/>
    <mergeCell ref="C22:C27"/>
    <mergeCell ref="C28:C33"/>
    <mergeCell ref="C34:C39"/>
    <mergeCell ref="C46:C47"/>
    <mergeCell ref="C48:C49"/>
    <mergeCell ref="C50:C51"/>
    <mergeCell ref="C57:C62"/>
    <mergeCell ref="C63:C68"/>
    <mergeCell ref="C73:C74"/>
    <mergeCell ref="C75:C76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2" manualBreakCount="2">
    <brk id="28" max="8" man="1"/>
    <brk id="6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L155"/>
  <sheetViews>
    <sheetView tabSelected="1" view="pageBreakPreview" zoomScaleNormal="90" workbookViewId="0">
      <selection activeCell="L7" sqref="L7"/>
    </sheetView>
  </sheetViews>
  <sheetFormatPr defaultColWidth="9" defaultRowHeight="14.25"/>
  <cols>
    <col min="1" max="1" width="7" customWidth="1"/>
    <col min="2" max="2" width="16.4" customWidth="1"/>
    <col min="3" max="3" width="13.6" customWidth="1"/>
    <col min="4" max="4" width="22.6" customWidth="1"/>
    <col min="5" max="5" width="12.6" customWidth="1"/>
    <col min="6" max="6" width="9.7" customWidth="1"/>
    <col min="7" max="7" width="11.6" customWidth="1"/>
    <col min="8" max="8" width="9.5" customWidth="1"/>
    <col min="9" max="9" width="16" customWidth="1"/>
    <col min="12" max="12" width="9.5" customWidth="1"/>
    <col min="22" max="22" width="15.6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customHeight="1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s="1" customFormat="1" ht="15.75" customHeight="1" spans="1:9">
      <c r="A3" s="7" t="s">
        <v>312</v>
      </c>
      <c r="B3" s="7"/>
      <c r="C3" s="7"/>
      <c r="D3" s="7"/>
      <c r="E3" s="7"/>
      <c r="F3" s="7"/>
      <c r="G3" s="7"/>
      <c r="H3" s="7"/>
      <c r="I3" s="7"/>
    </row>
    <row r="4" s="1" customFormat="1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1" customFormat="1" ht="15.75" spans="1:9">
      <c r="A5" s="5" t="s">
        <v>313</v>
      </c>
      <c r="B5" s="5"/>
      <c r="C5" s="5"/>
      <c r="D5" s="5"/>
      <c r="E5" s="5"/>
      <c r="F5" s="5"/>
      <c r="G5" s="5"/>
      <c r="H5" s="5"/>
      <c r="I5" s="5"/>
    </row>
    <row r="6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customHeight="1" spans="1:9">
      <c r="A7" s="6" t="s">
        <v>7</v>
      </c>
      <c r="B7" s="6"/>
      <c r="C7" s="6"/>
      <c r="D7" s="6"/>
      <c r="E7" s="6"/>
      <c r="G7" s="8" t="s">
        <v>8</v>
      </c>
      <c r="H7" s="8"/>
      <c r="I7" s="8"/>
    </row>
    <row r="8" s="1" customFormat="1" ht="47.25" spans="1:9">
      <c r="A8" s="62" t="s">
        <v>103</v>
      </c>
      <c r="B8" s="63" t="s">
        <v>10</v>
      </c>
      <c r="C8" s="62" t="s">
        <v>11</v>
      </c>
      <c r="D8" s="63" t="s">
        <v>12</v>
      </c>
      <c r="E8" s="63" t="s">
        <v>13</v>
      </c>
      <c r="F8" s="63" t="s">
        <v>14</v>
      </c>
      <c r="G8" s="63" t="s">
        <v>15</v>
      </c>
      <c r="H8" s="63" t="s">
        <v>16</v>
      </c>
      <c r="I8" s="63" t="s">
        <v>17</v>
      </c>
    </row>
    <row r="9" s="1" customFormat="1" ht="15.75" spans="1:9">
      <c r="A9" s="41" t="s">
        <v>18</v>
      </c>
      <c r="B9" s="35" t="s">
        <v>19</v>
      </c>
      <c r="C9" s="41" t="s">
        <v>20</v>
      </c>
      <c r="D9" s="37" t="s">
        <v>21</v>
      </c>
      <c r="E9" s="37" t="s">
        <v>22</v>
      </c>
      <c r="F9" s="37" t="s">
        <v>23</v>
      </c>
      <c r="G9" s="37" t="s">
        <v>24</v>
      </c>
      <c r="H9" s="37" t="s">
        <v>25</v>
      </c>
      <c r="I9" s="37" t="s">
        <v>26</v>
      </c>
    </row>
    <row r="10" ht="15.75" spans="1:12">
      <c r="A10" s="12">
        <v>1</v>
      </c>
      <c r="B10" s="12">
        <v>1981</v>
      </c>
      <c r="C10" s="12" t="s">
        <v>27</v>
      </c>
      <c r="D10" s="13" t="s">
        <v>38</v>
      </c>
      <c r="E10" s="14">
        <v>89947</v>
      </c>
      <c r="F10" s="15" t="s">
        <v>29</v>
      </c>
      <c r="G10" s="16">
        <f t="shared" ref="G10:G44" si="0">E10*(65.19*365)/POWER(10,9)</f>
        <v>2.14023039945</v>
      </c>
      <c r="H10" s="15" t="s">
        <v>29</v>
      </c>
      <c r="I10" s="16">
        <f t="shared" ref="I10:I23" si="1">G10</f>
        <v>2.14023039945</v>
      </c>
      <c r="L10" s="118" t="s">
        <v>314</v>
      </c>
    </row>
    <row r="11" ht="15.75" spans="1:9">
      <c r="A11" s="17"/>
      <c r="B11" s="17"/>
      <c r="C11" s="17"/>
      <c r="D11" s="13" t="s">
        <v>36</v>
      </c>
      <c r="E11" s="14">
        <v>21021</v>
      </c>
      <c r="F11" s="15" t="s">
        <v>29</v>
      </c>
      <c r="G11" s="16">
        <f t="shared" si="0"/>
        <v>0.50018103135</v>
      </c>
      <c r="H11" s="15" t="s">
        <v>29</v>
      </c>
      <c r="I11" s="16">
        <f t="shared" si="1"/>
        <v>0.50018103135</v>
      </c>
    </row>
    <row r="12" ht="15.75" spans="1:9">
      <c r="A12" s="17"/>
      <c r="B12" s="17"/>
      <c r="C12" s="17"/>
      <c r="D12" s="13" t="s">
        <v>31</v>
      </c>
      <c r="E12" s="14">
        <v>26</v>
      </c>
      <c r="F12" s="15" t="s">
        <v>29</v>
      </c>
      <c r="G12" s="16">
        <f t="shared" si="0"/>
        <v>0.0006186531</v>
      </c>
      <c r="H12" s="15" t="s">
        <v>29</v>
      </c>
      <c r="I12" s="16">
        <f t="shared" si="1"/>
        <v>0.0006186531</v>
      </c>
    </row>
    <row r="13" ht="15.75" spans="1:9">
      <c r="A13" s="17"/>
      <c r="B13" s="17"/>
      <c r="C13" s="17"/>
      <c r="D13" s="13" t="s">
        <v>315</v>
      </c>
      <c r="E13" s="14">
        <v>32741</v>
      </c>
      <c r="F13" s="15" t="s">
        <v>29</v>
      </c>
      <c r="G13" s="16">
        <f t="shared" si="0"/>
        <v>0.77905081335</v>
      </c>
      <c r="H13" s="15" t="s">
        <v>29</v>
      </c>
      <c r="I13" s="16">
        <f t="shared" si="1"/>
        <v>0.77905081335</v>
      </c>
    </row>
    <row r="14" ht="15.75" spans="1:9">
      <c r="A14" s="17"/>
      <c r="B14" s="17"/>
      <c r="C14" s="17"/>
      <c r="D14" s="13" t="s">
        <v>41</v>
      </c>
      <c r="E14" s="14">
        <v>11939</v>
      </c>
      <c r="F14" s="15" t="s">
        <v>29</v>
      </c>
      <c r="G14" s="16">
        <f t="shared" si="0"/>
        <v>0.28408074465</v>
      </c>
      <c r="H14" s="15" t="s">
        <v>29</v>
      </c>
      <c r="I14" s="16">
        <f t="shared" si="1"/>
        <v>0.28408074465</v>
      </c>
    </row>
    <row r="15" ht="15.75" spans="1:9">
      <c r="A15" s="17"/>
      <c r="B15" s="17"/>
      <c r="C15" s="17"/>
      <c r="D15" s="13" t="s">
        <v>316</v>
      </c>
      <c r="E15" s="14">
        <v>89285</v>
      </c>
      <c r="F15" s="15" t="s">
        <v>29</v>
      </c>
      <c r="G15" s="16">
        <f t="shared" si="0"/>
        <v>2.12447853975</v>
      </c>
      <c r="H15" s="15" t="s">
        <v>29</v>
      </c>
      <c r="I15" s="16">
        <f t="shared" si="1"/>
        <v>2.12447853975</v>
      </c>
    </row>
    <row r="16" ht="15.75" spans="1:9">
      <c r="A16" s="21"/>
      <c r="B16" s="21"/>
      <c r="C16" s="21"/>
      <c r="D16" s="13" t="s">
        <v>40</v>
      </c>
      <c r="E16" s="14">
        <v>3390</v>
      </c>
      <c r="F16" s="15" t="s">
        <v>29</v>
      </c>
      <c r="G16" s="16">
        <f t="shared" si="0"/>
        <v>0.0806628465</v>
      </c>
      <c r="H16" s="15" t="s">
        <v>29</v>
      </c>
      <c r="I16" s="16">
        <f t="shared" si="1"/>
        <v>0.0806628465</v>
      </c>
    </row>
    <row r="17" ht="15.75" spans="1:9">
      <c r="A17" s="9">
        <v>2</v>
      </c>
      <c r="B17" s="9">
        <v>1991</v>
      </c>
      <c r="C17" s="12" t="s">
        <v>27</v>
      </c>
      <c r="D17" s="13" t="s">
        <v>38</v>
      </c>
      <c r="E17" s="14">
        <v>108707</v>
      </c>
      <c r="F17" s="15" t="s">
        <v>29</v>
      </c>
      <c r="G17" s="16">
        <f t="shared" si="0"/>
        <v>2.58661240545</v>
      </c>
      <c r="H17" s="15" t="s">
        <v>29</v>
      </c>
      <c r="I17" s="16">
        <f t="shared" si="1"/>
        <v>2.58661240545</v>
      </c>
    </row>
    <row r="18" ht="15.75" spans="1:9">
      <c r="A18" s="9"/>
      <c r="B18" s="9"/>
      <c r="C18" s="17"/>
      <c r="D18" s="13" t="s">
        <v>36</v>
      </c>
      <c r="E18" s="14">
        <v>25405</v>
      </c>
      <c r="F18" s="15" t="s">
        <v>29</v>
      </c>
      <c r="G18" s="16">
        <f t="shared" si="0"/>
        <v>0.60449546175</v>
      </c>
      <c r="H18" s="15" t="s">
        <v>29</v>
      </c>
      <c r="I18" s="16">
        <f t="shared" si="1"/>
        <v>0.60449546175</v>
      </c>
    </row>
    <row r="19" ht="15.75" spans="1:9">
      <c r="A19" s="9"/>
      <c r="B19" s="9"/>
      <c r="C19" s="17"/>
      <c r="D19" s="13" t="s">
        <v>31</v>
      </c>
      <c r="E19" s="14">
        <v>34</v>
      </c>
      <c r="F19" s="15" t="s">
        <v>29</v>
      </c>
      <c r="G19" s="16">
        <f t="shared" si="0"/>
        <v>0.0008090079</v>
      </c>
      <c r="H19" s="15" t="s">
        <v>29</v>
      </c>
      <c r="I19" s="16">
        <f t="shared" si="1"/>
        <v>0.0008090079</v>
      </c>
    </row>
    <row r="20" ht="15.75" spans="1:9">
      <c r="A20" s="9"/>
      <c r="B20" s="9"/>
      <c r="C20" s="17"/>
      <c r="D20" s="13" t="s">
        <v>315</v>
      </c>
      <c r="E20" s="14">
        <v>39701</v>
      </c>
      <c r="F20" s="15" t="s">
        <v>29</v>
      </c>
      <c r="G20" s="16">
        <f t="shared" si="0"/>
        <v>0.94465948935</v>
      </c>
      <c r="H20" s="15" t="s">
        <v>29</v>
      </c>
      <c r="I20" s="16">
        <f t="shared" si="1"/>
        <v>0.94465948935</v>
      </c>
    </row>
    <row r="21" ht="15.75" spans="1:9">
      <c r="A21" s="9"/>
      <c r="B21" s="9"/>
      <c r="C21" s="17"/>
      <c r="D21" s="13" t="s">
        <v>41</v>
      </c>
      <c r="E21" s="14">
        <v>14477</v>
      </c>
      <c r="F21" s="15" t="s">
        <v>29</v>
      </c>
      <c r="G21" s="16">
        <f t="shared" si="0"/>
        <v>0.34447080495</v>
      </c>
      <c r="H21" s="15" t="s">
        <v>29</v>
      </c>
      <c r="I21" s="16">
        <f t="shared" si="1"/>
        <v>0.34447080495</v>
      </c>
    </row>
    <row r="22" ht="15.75" spans="1:9">
      <c r="A22" s="9"/>
      <c r="B22" s="9"/>
      <c r="C22" s="17"/>
      <c r="D22" s="13" t="s">
        <v>316</v>
      </c>
      <c r="E22" s="14">
        <v>108263</v>
      </c>
      <c r="F22" s="15" t="s">
        <v>29</v>
      </c>
      <c r="G22" s="16">
        <f t="shared" si="0"/>
        <v>2.57604771405</v>
      </c>
      <c r="H22" s="15" t="s">
        <v>29</v>
      </c>
      <c r="I22" s="16">
        <f t="shared" si="1"/>
        <v>2.57604771405</v>
      </c>
    </row>
    <row r="23" ht="15.75" spans="1:9">
      <c r="A23" s="9"/>
      <c r="B23" s="9"/>
      <c r="C23" s="21"/>
      <c r="D23" s="13" t="s">
        <v>40</v>
      </c>
      <c r="E23" s="14">
        <v>4110</v>
      </c>
      <c r="F23" s="15" t="s">
        <v>29</v>
      </c>
      <c r="G23" s="16">
        <f t="shared" si="0"/>
        <v>0.0977947785</v>
      </c>
      <c r="H23" s="15" t="s">
        <v>29</v>
      </c>
      <c r="I23" s="16">
        <f t="shared" si="1"/>
        <v>0.0977947785</v>
      </c>
    </row>
    <row r="24" ht="15.75" spans="1:11">
      <c r="A24" s="9">
        <v>3</v>
      </c>
      <c r="B24" s="12">
        <v>2001</v>
      </c>
      <c r="C24" s="11" t="s">
        <v>37</v>
      </c>
      <c r="D24" s="13" t="s">
        <v>36</v>
      </c>
      <c r="E24" s="14">
        <v>30860</v>
      </c>
      <c r="F24" s="19">
        <v>25438</v>
      </c>
      <c r="G24" s="16">
        <f t="shared" si="0"/>
        <v>0.734293641</v>
      </c>
      <c r="H24" s="20">
        <v>0.778535299510746</v>
      </c>
      <c r="I24" s="16">
        <f t="shared" ref="I24:I44" si="2">G24+H24</f>
        <v>1.51282894051075</v>
      </c>
      <c r="K24" s="53"/>
    </row>
    <row r="25" ht="15.75" spans="1:11">
      <c r="A25" s="9"/>
      <c r="B25" s="17"/>
      <c r="C25" s="23"/>
      <c r="D25" s="13" t="s">
        <v>38</v>
      </c>
      <c r="E25" s="14">
        <v>132047</v>
      </c>
      <c r="F25" s="19">
        <v>74691</v>
      </c>
      <c r="G25" s="16">
        <f t="shared" si="0"/>
        <v>3.14197253445</v>
      </c>
      <c r="H25" s="20">
        <v>1.66128068879517</v>
      </c>
      <c r="I25" s="16">
        <f t="shared" si="2"/>
        <v>4.80325322324517</v>
      </c>
      <c r="K25" s="53"/>
    </row>
    <row r="26" ht="15.75" spans="1:11">
      <c r="A26" s="9"/>
      <c r="B26" s="17"/>
      <c r="C26" s="11" t="s">
        <v>27</v>
      </c>
      <c r="D26" s="13" t="s">
        <v>31</v>
      </c>
      <c r="E26" s="14">
        <v>39</v>
      </c>
      <c r="F26" s="19">
        <v>57</v>
      </c>
      <c r="G26" s="16">
        <f t="shared" si="0"/>
        <v>0.00092797965</v>
      </c>
      <c r="H26" s="20">
        <v>0.000974928801540745</v>
      </c>
      <c r="I26" s="16">
        <f t="shared" si="2"/>
        <v>0.00190290845154074</v>
      </c>
      <c r="K26" s="53"/>
    </row>
    <row r="27" ht="15.75" spans="1:11">
      <c r="A27" s="9"/>
      <c r="B27" s="17"/>
      <c r="C27" s="22"/>
      <c r="D27" s="13" t="s">
        <v>41</v>
      </c>
      <c r="E27" s="14">
        <v>17515</v>
      </c>
      <c r="F27" s="19">
        <v>12046</v>
      </c>
      <c r="G27" s="16">
        <f t="shared" si="0"/>
        <v>0.41675804025</v>
      </c>
      <c r="H27" s="20">
        <v>0.241689547441194</v>
      </c>
      <c r="I27" s="16">
        <f t="shared" si="2"/>
        <v>0.658447587691194</v>
      </c>
      <c r="K27" s="53"/>
    </row>
    <row r="28" ht="15.75" spans="1:11">
      <c r="A28" s="9"/>
      <c r="B28" s="17"/>
      <c r="C28" s="22"/>
      <c r="D28" s="13" t="s">
        <v>316</v>
      </c>
      <c r="E28" s="14">
        <v>130981</v>
      </c>
      <c r="F28" s="19">
        <v>65734</v>
      </c>
      <c r="G28" s="16">
        <f t="shared" si="0"/>
        <v>3.11660775735</v>
      </c>
      <c r="H28" s="20">
        <v>1.36122575281098</v>
      </c>
      <c r="I28" s="16">
        <f t="shared" si="2"/>
        <v>4.47783351016098</v>
      </c>
      <c r="K28" s="53"/>
    </row>
    <row r="29" ht="15.75" spans="1:11">
      <c r="A29" s="9"/>
      <c r="B29" s="17"/>
      <c r="C29" s="22"/>
      <c r="D29" s="13" t="s">
        <v>315</v>
      </c>
      <c r="E29" s="14">
        <v>48032</v>
      </c>
      <c r="F29" s="19">
        <v>18160</v>
      </c>
      <c r="G29" s="16">
        <f t="shared" si="0"/>
        <v>1.1428902192</v>
      </c>
      <c r="H29" s="20">
        <v>0.430006060005781</v>
      </c>
      <c r="I29" s="16">
        <f t="shared" si="2"/>
        <v>1.57289627920578</v>
      </c>
      <c r="K29" s="53"/>
    </row>
    <row r="30" ht="15.75" spans="1:11">
      <c r="A30" s="9"/>
      <c r="B30" s="21"/>
      <c r="C30" s="23"/>
      <c r="D30" s="13" t="s">
        <v>40</v>
      </c>
      <c r="E30" s="14">
        <v>4973</v>
      </c>
      <c r="F30" s="19">
        <v>8611</v>
      </c>
      <c r="G30" s="16">
        <f t="shared" si="0"/>
        <v>0.11832930255</v>
      </c>
      <c r="H30" s="20">
        <v>0.221877349965981</v>
      </c>
      <c r="I30" s="16">
        <f t="shared" si="2"/>
        <v>0.340206652515981</v>
      </c>
      <c r="K30" s="53"/>
    </row>
    <row r="31" ht="15.75" spans="1:11">
      <c r="A31" s="9">
        <v>4</v>
      </c>
      <c r="B31" s="9">
        <v>2011</v>
      </c>
      <c r="C31" s="10" t="s">
        <v>37</v>
      </c>
      <c r="D31" s="13" t="s">
        <v>36</v>
      </c>
      <c r="E31" s="14">
        <v>32752</v>
      </c>
      <c r="F31" s="19">
        <v>26488</v>
      </c>
      <c r="G31" s="16">
        <f t="shared" si="0"/>
        <v>0.7793125512</v>
      </c>
      <c r="H31" s="20">
        <v>0.721867298813938</v>
      </c>
      <c r="I31" s="16">
        <f t="shared" si="2"/>
        <v>1.50117985001394</v>
      </c>
      <c r="K31" s="53"/>
    </row>
    <row r="32" ht="15.75" spans="1:11">
      <c r="A32" s="9"/>
      <c r="B32" s="9"/>
      <c r="C32" s="10"/>
      <c r="D32" s="13" t="s">
        <v>38</v>
      </c>
      <c r="E32" s="14">
        <v>140142</v>
      </c>
      <c r="F32" s="19">
        <v>72162</v>
      </c>
      <c r="G32" s="16">
        <f t="shared" si="0"/>
        <v>3.3345877977</v>
      </c>
      <c r="H32" s="20">
        <v>1.6141638745363</v>
      </c>
      <c r="I32" s="16">
        <f t="shared" si="2"/>
        <v>4.9487516722363</v>
      </c>
      <c r="K32" s="53"/>
    </row>
    <row r="33" ht="15.75" spans="1:11">
      <c r="A33" s="9"/>
      <c r="B33" s="9"/>
      <c r="C33" s="10" t="s">
        <v>27</v>
      </c>
      <c r="D33" s="13" t="s">
        <v>31</v>
      </c>
      <c r="E33" s="14">
        <v>43</v>
      </c>
      <c r="F33" s="19">
        <v>56</v>
      </c>
      <c r="G33" s="16">
        <f t="shared" si="0"/>
        <v>0.00102315705</v>
      </c>
      <c r="H33" s="20">
        <v>0.000987238064037657</v>
      </c>
      <c r="I33" s="16">
        <f t="shared" si="2"/>
        <v>0.00201039511403766</v>
      </c>
      <c r="K33" s="53"/>
    </row>
    <row r="34" ht="15.75" spans="1:11">
      <c r="A34" s="9"/>
      <c r="B34" s="9"/>
      <c r="C34" s="10"/>
      <c r="D34" s="13" t="s">
        <v>41</v>
      </c>
      <c r="E34" s="14">
        <v>19149</v>
      </c>
      <c r="F34" s="19">
        <v>21217</v>
      </c>
      <c r="G34" s="16">
        <f t="shared" si="0"/>
        <v>0.45563800815</v>
      </c>
      <c r="H34" s="20">
        <v>0.4608749438569</v>
      </c>
      <c r="I34" s="16">
        <f t="shared" si="2"/>
        <v>0.9165129520069</v>
      </c>
      <c r="K34" s="53"/>
    </row>
    <row r="35" ht="15.75" spans="1:11">
      <c r="A35" s="9"/>
      <c r="B35" s="9"/>
      <c r="C35" s="10"/>
      <c r="D35" s="13" t="s">
        <v>316</v>
      </c>
      <c r="E35" s="14">
        <v>143198</v>
      </c>
      <c r="F35" s="19">
        <v>142646</v>
      </c>
      <c r="G35" s="16">
        <f t="shared" si="0"/>
        <v>3.4073033313</v>
      </c>
      <c r="H35" s="20">
        <v>2.1865449835506</v>
      </c>
      <c r="I35" s="16">
        <f t="shared" si="2"/>
        <v>5.5938483148506</v>
      </c>
      <c r="K35" s="53"/>
    </row>
    <row r="36" ht="15.75" spans="1:11">
      <c r="A36" s="9"/>
      <c r="B36" s="9"/>
      <c r="C36" s="10"/>
      <c r="D36" s="13" t="s">
        <v>315</v>
      </c>
      <c r="E36" s="14">
        <v>52512</v>
      </c>
      <c r="F36" s="19">
        <v>43544</v>
      </c>
      <c r="G36" s="16">
        <f t="shared" si="0"/>
        <v>1.2494889072</v>
      </c>
      <c r="H36" s="20">
        <v>0.915574661323162</v>
      </c>
      <c r="I36" s="16">
        <f t="shared" si="2"/>
        <v>2.16506356852316</v>
      </c>
      <c r="K36" s="53"/>
    </row>
    <row r="37" ht="15.75" spans="1:11">
      <c r="A37" s="9"/>
      <c r="B37" s="9"/>
      <c r="C37" s="10"/>
      <c r="D37" s="13" t="s">
        <v>40</v>
      </c>
      <c r="E37" s="14">
        <v>5437</v>
      </c>
      <c r="F37" s="19">
        <v>12413</v>
      </c>
      <c r="G37" s="16">
        <f t="shared" si="0"/>
        <v>0.12936988095</v>
      </c>
      <c r="H37" s="20">
        <v>0.22320070218369</v>
      </c>
      <c r="I37" s="16">
        <f t="shared" si="2"/>
        <v>0.35257058313369</v>
      </c>
      <c r="K37" s="53"/>
    </row>
    <row r="38" ht="15.75" spans="1:11">
      <c r="A38" s="9">
        <v>5</v>
      </c>
      <c r="B38" s="9">
        <v>2021</v>
      </c>
      <c r="C38" s="10" t="s">
        <v>37</v>
      </c>
      <c r="D38" s="13" t="s">
        <v>36</v>
      </c>
      <c r="E38" s="14">
        <v>35416</v>
      </c>
      <c r="F38" s="19">
        <v>28916</v>
      </c>
      <c r="G38" s="16">
        <f t="shared" si="0"/>
        <v>0.8427006996</v>
      </c>
      <c r="H38" s="20">
        <v>0.637659521101831</v>
      </c>
      <c r="I38" s="16">
        <f t="shared" si="2"/>
        <v>1.48036022070183</v>
      </c>
      <c r="K38" s="53"/>
    </row>
    <row r="39" ht="15.75" spans="1:11">
      <c r="A39" s="9"/>
      <c r="B39" s="9"/>
      <c r="C39" s="10"/>
      <c r="D39" s="13" t="s">
        <v>38</v>
      </c>
      <c r="E39" s="14">
        <v>151541</v>
      </c>
      <c r="F39" s="19">
        <v>75469</v>
      </c>
      <c r="G39" s="16">
        <f t="shared" si="0"/>
        <v>3.60581959335</v>
      </c>
      <c r="H39" s="20">
        <v>1.39677042366952</v>
      </c>
      <c r="I39" s="16">
        <f t="shared" si="2"/>
        <v>5.00259001701952</v>
      </c>
      <c r="K39" s="53"/>
    </row>
    <row r="40" ht="15.75" spans="1:11">
      <c r="A40" s="9"/>
      <c r="B40" s="9"/>
      <c r="C40" s="10" t="s">
        <v>317</v>
      </c>
      <c r="D40" s="13" t="s">
        <v>41</v>
      </c>
      <c r="E40" s="14">
        <v>21100</v>
      </c>
      <c r="F40" s="19">
        <v>33114</v>
      </c>
      <c r="G40" s="16">
        <f t="shared" si="0"/>
        <v>0.502060785</v>
      </c>
      <c r="H40" s="20">
        <v>0.392995392866764</v>
      </c>
      <c r="I40" s="16">
        <f t="shared" si="2"/>
        <v>0.895056177866764</v>
      </c>
      <c r="K40" s="53"/>
    </row>
    <row r="41" ht="15.75" spans="1:11">
      <c r="A41" s="9"/>
      <c r="B41" s="9"/>
      <c r="C41" s="10"/>
      <c r="D41" s="13" t="s">
        <v>316</v>
      </c>
      <c r="E41" s="14">
        <v>157788</v>
      </c>
      <c r="F41" s="19">
        <v>138285</v>
      </c>
      <c r="G41" s="16">
        <f t="shared" si="0"/>
        <v>3.7544628978</v>
      </c>
      <c r="H41" s="20">
        <v>2.97873062035435</v>
      </c>
      <c r="I41" s="16">
        <f t="shared" si="2"/>
        <v>6.73319351815435</v>
      </c>
      <c r="K41" s="53"/>
    </row>
    <row r="42" ht="15.75" spans="1:11">
      <c r="A42" s="9"/>
      <c r="B42" s="9"/>
      <c r="C42" s="10"/>
      <c r="D42" s="13" t="s">
        <v>315</v>
      </c>
      <c r="E42" s="14">
        <v>57862</v>
      </c>
      <c r="F42" s="19">
        <v>31532</v>
      </c>
      <c r="G42" s="16">
        <f t="shared" si="0"/>
        <v>1.3767886797</v>
      </c>
      <c r="H42" s="20">
        <v>0.378422062854143</v>
      </c>
      <c r="I42" s="16">
        <f t="shared" si="2"/>
        <v>1.75521074255414</v>
      </c>
      <c r="K42" s="53"/>
    </row>
    <row r="43" ht="15.75" spans="1:11">
      <c r="A43" s="9"/>
      <c r="B43" s="9"/>
      <c r="C43" s="10"/>
      <c r="D43" s="13" t="s">
        <v>40</v>
      </c>
      <c r="E43" s="14">
        <v>5991</v>
      </c>
      <c r="F43" s="19">
        <v>8142</v>
      </c>
      <c r="G43" s="16">
        <f t="shared" si="0"/>
        <v>0.14255195085</v>
      </c>
      <c r="H43" s="20">
        <v>0.1651293734541</v>
      </c>
      <c r="I43" s="16">
        <f t="shared" si="2"/>
        <v>0.3076813243041</v>
      </c>
      <c r="K43" s="53"/>
    </row>
    <row r="44" ht="15.75" spans="1:11">
      <c r="A44" s="9"/>
      <c r="B44" s="9"/>
      <c r="C44" s="10" t="s">
        <v>27</v>
      </c>
      <c r="D44" s="13" t="s">
        <v>31</v>
      </c>
      <c r="E44" s="14">
        <v>46</v>
      </c>
      <c r="F44" s="19">
        <v>50</v>
      </c>
      <c r="G44" s="16">
        <f t="shared" si="0"/>
        <v>0.0010945401</v>
      </c>
      <c r="H44" s="20">
        <v>0.000795238846616072</v>
      </c>
      <c r="I44" s="16">
        <f t="shared" si="2"/>
        <v>0.00188977894661607</v>
      </c>
      <c r="K44" s="53"/>
    </row>
    <row r="46" ht="15.75" spans="1:9">
      <c r="A46" s="4" t="s">
        <v>81</v>
      </c>
      <c r="B46" s="68"/>
      <c r="C46" s="68"/>
      <c r="D46" s="87"/>
      <c r="E46" s="113"/>
      <c r="F46" s="113"/>
      <c r="G46" s="8" t="s">
        <v>8</v>
      </c>
      <c r="H46" s="8"/>
      <c r="I46" s="8"/>
    </row>
    <row r="47" ht="47.25" spans="1:9">
      <c r="A47" s="63" t="s">
        <v>103</v>
      </c>
      <c r="B47" s="63" t="s">
        <v>10</v>
      </c>
      <c r="C47" s="63" t="s">
        <v>11</v>
      </c>
      <c r="D47" s="63" t="s">
        <v>83</v>
      </c>
      <c r="E47" s="63" t="s">
        <v>13</v>
      </c>
      <c r="F47" s="63" t="s">
        <v>84</v>
      </c>
      <c r="G47" s="63" t="s">
        <v>15</v>
      </c>
      <c r="H47" s="63" t="s">
        <v>16</v>
      </c>
      <c r="I47" s="63" t="s">
        <v>17</v>
      </c>
    </row>
    <row r="48" s="1" customFormat="1" ht="15.75" spans="1:9">
      <c r="A48" s="41" t="s">
        <v>18</v>
      </c>
      <c r="B48" s="37" t="s">
        <v>19</v>
      </c>
      <c r="C48" s="36" t="s">
        <v>20</v>
      </c>
      <c r="D48" s="37" t="s">
        <v>21</v>
      </c>
      <c r="E48" s="37" t="s">
        <v>22</v>
      </c>
      <c r="F48" s="37" t="s">
        <v>23</v>
      </c>
      <c r="G48" s="37" t="s">
        <v>24</v>
      </c>
      <c r="H48" s="37" t="s">
        <v>25</v>
      </c>
      <c r="I48" s="37" t="s">
        <v>26</v>
      </c>
    </row>
    <row r="49" ht="15.75" spans="1:9">
      <c r="A49" s="70">
        <v>1</v>
      </c>
      <c r="B49" s="70">
        <v>2001</v>
      </c>
      <c r="C49" s="10" t="s">
        <v>318</v>
      </c>
      <c r="D49" s="9" t="s">
        <v>316</v>
      </c>
      <c r="E49" s="15">
        <v>9762</v>
      </c>
      <c r="F49" s="15" t="s">
        <v>29</v>
      </c>
      <c r="G49" s="43">
        <f t="shared" ref="G49:G54" si="3">E49*(162*365)/POWER(10,9)</f>
        <v>0.57722706</v>
      </c>
      <c r="H49" s="15" t="s">
        <v>29</v>
      </c>
      <c r="I49" s="20">
        <f>G49</f>
        <v>0.57722706</v>
      </c>
    </row>
    <row r="50" ht="30.75" customHeight="1" spans="1:9">
      <c r="A50" s="84"/>
      <c r="B50" s="84"/>
      <c r="C50" s="10"/>
      <c r="D50" s="9" t="s">
        <v>319</v>
      </c>
      <c r="E50" s="15">
        <v>7526</v>
      </c>
      <c r="F50" s="15" t="s">
        <v>29</v>
      </c>
      <c r="G50" s="43">
        <f t="shared" si="3"/>
        <v>0.44501238</v>
      </c>
      <c r="H50" s="15" t="s">
        <v>29</v>
      </c>
      <c r="I50" s="20">
        <f>G50</f>
        <v>0.44501238</v>
      </c>
    </row>
    <row r="51" ht="31.5" customHeight="1" spans="1:9">
      <c r="A51" s="83">
        <v>2</v>
      </c>
      <c r="B51" s="70">
        <v>2011</v>
      </c>
      <c r="C51" s="10" t="s">
        <v>318</v>
      </c>
      <c r="D51" s="9" t="s">
        <v>317</v>
      </c>
      <c r="E51" s="15">
        <v>10517</v>
      </c>
      <c r="F51" s="19">
        <v>1209</v>
      </c>
      <c r="G51" s="43">
        <f t="shared" si="3"/>
        <v>0.62187021</v>
      </c>
      <c r="H51" s="20">
        <v>0.02578725</v>
      </c>
      <c r="I51" s="20">
        <f>G51+H51</f>
        <v>0.64765746</v>
      </c>
    </row>
    <row r="52" ht="15.75" spans="1:9">
      <c r="A52" s="84"/>
      <c r="B52" s="84"/>
      <c r="C52" s="105"/>
      <c r="D52" s="17" t="s">
        <v>319</v>
      </c>
      <c r="E52" s="114">
        <v>9752</v>
      </c>
      <c r="F52" s="19">
        <v>4107</v>
      </c>
      <c r="G52" s="43">
        <f t="shared" si="3"/>
        <v>0.57663576</v>
      </c>
      <c r="H52" s="20">
        <v>0.113266143</v>
      </c>
      <c r="I52" s="20">
        <f>G52+H52</f>
        <v>0.689901903</v>
      </c>
    </row>
    <row r="53" ht="15.75" spans="1:9">
      <c r="A53" s="83">
        <v>3</v>
      </c>
      <c r="B53" s="70">
        <v>2021</v>
      </c>
      <c r="C53" s="10" t="s">
        <v>317</v>
      </c>
      <c r="D53" s="9" t="s">
        <v>316</v>
      </c>
      <c r="E53" s="15">
        <v>11272</v>
      </c>
      <c r="F53" s="19">
        <v>1663</v>
      </c>
      <c r="G53" s="43">
        <f t="shared" si="3"/>
        <v>0.66651336</v>
      </c>
      <c r="H53" s="20">
        <v>0.0304405698214286</v>
      </c>
      <c r="I53" s="20">
        <f>G53+H53</f>
        <v>0.696953929821429</v>
      </c>
    </row>
    <row r="54" ht="15.75" spans="1:9">
      <c r="A54" s="84"/>
      <c r="B54" s="84"/>
      <c r="C54" s="10"/>
      <c r="D54" s="15" t="s">
        <v>319</v>
      </c>
      <c r="E54" s="15">
        <v>11978</v>
      </c>
      <c r="F54" s="19">
        <v>11286</v>
      </c>
      <c r="G54" s="43">
        <f t="shared" si="3"/>
        <v>0.70825914</v>
      </c>
      <c r="H54" s="20">
        <v>0.167328631607143</v>
      </c>
      <c r="I54" s="20">
        <f>G54+H54</f>
        <v>0.875587771607143</v>
      </c>
    </row>
    <row r="55" ht="15.75" spans="1:9">
      <c r="A55" s="115"/>
      <c r="B55" s="115"/>
      <c r="C55" s="25"/>
      <c r="D55" s="116"/>
      <c r="E55" s="116"/>
      <c r="F55" s="28"/>
      <c r="G55" s="117"/>
      <c r="H55" s="30"/>
      <c r="I55" s="30"/>
    </row>
    <row r="56" ht="15.75" spans="1:9">
      <c r="A56" s="115"/>
      <c r="B56" s="115"/>
      <c r="C56" s="25"/>
      <c r="D56" s="116"/>
      <c r="E56" s="116"/>
      <c r="F56" s="28"/>
      <c r="G56" s="117"/>
      <c r="H56" s="30"/>
      <c r="I56" s="30"/>
    </row>
    <row r="59" ht="18.75" spans="1:9">
      <c r="A59" s="39" t="s">
        <v>102</v>
      </c>
      <c r="B59" s="39"/>
      <c r="C59" s="39"/>
      <c r="D59" s="39"/>
      <c r="E59" s="39"/>
      <c r="F59" s="39"/>
      <c r="G59" s="39"/>
      <c r="H59" s="39"/>
      <c r="I59" s="39"/>
    </row>
    <row r="60" ht="15.75" spans="1:9">
      <c r="A60" s="40" t="s">
        <v>7</v>
      </c>
      <c r="B60" s="40"/>
      <c r="C60" s="40"/>
      <c r="D60" s="40"/>
      <c r="E60" s="4"/>
      <c r="F60" s="40"/>
      <c r="G60" s="8" t="s">
        <v>8</v>
      </c>
      <c r="H60" s="8"/>
      <c r="I60" s="8"/>
    </row>
    <row r="61" s="1" customFormat="1" ht="47.25" spans="1:9">
      <c r="A61" s="41" t="s">
        <v>9</v>
      </c>
      <c r="B61" s="35" t="s">
        <v>104</v>
      </c>
      <c r="C61" s="41" t="s">
        <v>11</v>
      </c>
      <c r="D61" s="41" t="s">
        <v>12</v>
      </c>
      <c r="E61" s="35" t="s">
        <v>13</v>
      </c>
      <c r="F61" s="35" t="s">
        <v>84</v>
      </c>
      <c r="G61" s="35" t="s">
        <v>15</v>
      </c>
      <c r="H61" s="35" t="s">
        <v>16</v>
      </c>
      <c r="I61" s="35" t="s">
        <v>17</v>
      </c>
    </row>
    <row r="62" s="1" customFormat="1" ht="15.75" spans="1:9">
      <c r="A62" s="41" t="s">
        <v>18</v>
      </c>
      <c r="B62" s="35" t="s">
        <v>19</v>
      </c>
      <c r="C62" s="41" t="s">
        <v>20</v>
      </c>
      <c r="D62" s="37" t="s">
        <v>21</v>
      </c>
      <c r="E62" s="37" t="s">
        <v>22</v>
      </c>
      <c r="F62" s="37" t="s">
        <v>23</v>
      </c>
      <c r="G62" s="37" t="s">
        <v>24</v>
      </c>
      <c r="H62" s="37" t="s">
        <v>25</v>
      </c>
      <c r="I62" s="37" t="s">
        <v>26</v>
      </c>
    </row>
    <row r="63" ht="15.75" spans="1:9">
      <c r="A63" s="12">
        <v>1</v>
      </c>
      <c r="B63" s="12">
        <v>2025</v>
      </c>
      <c r="C63" s="11" t="s">
        <v>37</v>
      </c>
      <c r="D63" s="13" t="s">
        <v>36</v>
      </c>
      <c r="E63" s="14">
        <v>36133</v>
      </c>
      <c r="F63" s="19">
        <v>30348</v>
      </c>
      <c r="G63" s="16">
        <f t="shared" ref="G63:G76" si="4">E63*(65.19*365)/POWER(10,9)</f>
        <v>0.85976124855</v>
      </c>
      <c r="H63" s="20">
        <v>0.602899166138616</v>
      </c>
      <c r="I63" s="16">
        <f t="shared" ref="I63:I76" si="5">G63+H63</f>
        <v>1.46266041468862</v>
      </c>
    </row>
    <row r="64" ht="15.75" spans="1:9">
      <c r="A64" s="17"/>
      <c r="B64" s="17"/>
      <c r="C64" s="23"/>
      <c r="D64" s="13" t="s">
        <v>38</v>
      </c>
      <c r="E64" s="14">
        <v>154608</v>
      </c>
      <c r="F64" s="19">
        <v>76256</v>
      </c>
      <c r="G64" s="16">
        <f t="shared" si="4"/>
        <v>3.6787968648</v>
      </c>
      <c r="H64" s="20">
        <v>1.30592430959317</v>
      </c>
      <c r="I64" s="16">
        <f t="shared" si="5"/>
        <v>4.98472117439317</v>
      </c>
    </row>
    <row r="65" ht="15.75" spans="1:9">
      <c r="A65" s="17"/>
      <c r="B65" s="17"/>
      <c r="C65" s="10" t="s">
        <v>317</v>
      </c>
      <c r="D65" s="13" t="s">
        <v>41</v>
      </c>
      <c r="E65" s="14">
        <v>21753</v>
      </c>
      <c r="F65" s="19">
        <v>40887</v>
      </c>
      <c r="G65" s="16">
        <f t="shared" si="4"/>
        <v>0.51759849555</v>
      </c>
      <c r="H65" s="20">
        <v>0.379327833567622</v>
      </c>
      <c r="I65" s="16">
        <f t="shared" si="5"/>
        <v>0.896926329117622</v>
      </c>
    </row>
    <row r="66" ht="15.75" spans="1:9">
      <c r="A66" s="17"/>
      <c r="B66" s="17"/>
      <c r="C66" s="10"/>
      <c r="D66" s="13" t="s">
        <v>316</v>
      </c>
      <c r="E66" s="14">
        <v>162677</v>
      </c>
      <c r="F66" s="19">
        <v>146404</v>
      </c>
      <c r="G66" s="16">
        <f t="shared" si="4"/>
        <v>3.87079347495</v>
      </c>
      <c r="H66" s="20">
        <v>3.3956114762022</v>
      </c>
      <c r="I66" s="16">
        <f t="shared" si="5"/>
        <v>7.2664049511522</v>
      </c>
    </row>
    <row r="67" ht="15.75" spans="1:9">
      <c r="A67" s="17"/>
      <c r="B67" s="17"/>
      <c r="C67" s="10"/>
      <c r="D67" s="13" t="s">
        <v>315</v>
      </c>
      <c r="E67" s="14">
        <v>59655</v>
      </c>
      <c r="F67" s="19">
        <v>30310</v>
      </c>
      <c r="G67" s="16">
        <f t="shared" si="4"/>
        <v>1.41945194925</v>
      </c>
      <c r="H67" s="20">
        <v>0.158379790876678</v>
      </c>
      <c r="I67" s="16">
        <f t="shared" si="5"/>
        <v>1.57783174012668</v>
      </c>
    </row>
    <row r="68" ht="15.75" spans="1:9">
      <c r="A68" s="17"/>
      <c r="B68" s="17"/>
      <c r="C68" s="10"/>
      <c r="D68" s="13" t="s">
        <v>40</v>
      </c>
      <c r="E68" s="14">
        <v>6176</v>
      </c>
      <c r="F68" s="19">
        <v>7653</v>
      </c>
      <c r="G68" s="16">
        <f t="shared" si="4"/>
        <v>0.1469539056</v>
      </c>
      <c r="H68" s="20">
        <v>0.14539616956095</v>
      </c>
      <c r="I68" s="16">
        <f t="shared" si="5"/>
        <v>0.29235007516095</v>
      </c>
    </row>
    <row r="69" ht="15.75" spans="1:9">
      <c r="A69" s="21"/>
      <c r="B69" s="21"/>
      <c r="C69" s="10" t="s">
        <v>27</v>
      </c>
      <c r="D69" s="13" t="s">
        <v>31</v>
      </c>
      <c r="E69" s="14">
        <v>47</v>
      </c>
      <c r="F69" s="19">
        <v>49</v>
      </c>
      <c r="G69" s="16">
        <f t="shared" si="4"/>
        <v>0.00111833445</v>
      </c>
      <c r="H69" s="20">
        <v>0.000712121786523214</v>
      </c>
      <c r="I69" s="16">
        <f t="shared" si="5"/>
        <v>0.00183045623652321</v>
      </c>
    </row>
    <row r="70" ht="19.5" customHeight="1" spans="1:9">
      <c r="A70" s="12">
        <v>2</v>
      </c>
      <c r="B70" s="12">
        <v>2050</v>
      </c>
      <c r="C70" s="11" t="s">
        <v>37</v>
      </c>
      <c r="D70" s="13" t="s">
        <v>36</v>
      </c>
      <c r="E70" s="44">
        <v>36094</v>
      </c>
      <c r="F70" s="19">
        <v>43727</v>
      </c>
      <c r="G70" s="16">
        <f t="shared" si="4"/>
        <v>0.8588332689</v>
      </c>
      <c r="H70" s="20">
        <v>0.436970778914955</v>
      </c>
      <c r="I70" s="16">
        <f t="shared" si="5"/>
        <v>1.29580404781496</v>
      </c>
    </row>
    <row r="71" ht="15.75" spans="1:9">
      <c r="A71" s="17"/>
      <c r="B71" s="17"/>
      <c r="C71" s="23"/>
      <c r="D71" s="13" t="s">
        <v>38</v>
      </c>
      <c r="E71" s="44">
        <v>154443</v>
      </c>
      <c r="F71" s="19">
        <v>85106</v>
      </c>
      <c r="G71" s="16">
        <f t="shared" si="4"/>
        <v>3.67487079705</v>
      </c>
      <c r="H71" s="20">
        <v>0.895822418572459</v>
      </c>
      <c r="I71" s="16">
        <f t="shared" si="5"/>
        <v>4.57069321562246</v>
      </c>
    </row>
    <row r="72" ht="15.75" spans="1:9">
      <c r="A72" s="17"/>
      <c r="B72" s="17"/>
      <c r="C72" s="10" t="s">
        <v>317</v>
      </c>
      <c r="D72" s="13" t="s">
        <v>41</v>
      </c>
      <c r="E72" s="44">
        <v>24201</v>
      </c>
      <c r="F72" s="19">
        <v>89862</v>
      </c>
      <c r="G72" s="16">
        <f t="shared" si="4"/>
        <v>0.57584706435</v>
      </c>
      <c r="H72" s="20">
        <v>0.309796524015121</v>
      </c>
      <c r="I72" s="16">
        <f t="shared" si="5"/>
        <v>0.885643588365121</v>
      </c>
    </row>
    <row r="73" ht="15.75" spans="1:9">
      <c r="A73" s="17"/>
      <c r="B73" s="17"/>
      <c r="C73" s="10"/>
      <c r="D73" s="13" t="s">
        <v>316</v>
      </c>
      <c r="E73" s="44">
        <v>180980</v>
      </c>
      <c r="F73" s="19">
        <v>238568</v>
      </c>
      <c r="G73" s="16">
        <f t="shared" si="4"/>
        <v>4.306301463</v>
      </c>
      <c r="H73" s="20">
        <v>6.2816787052133</v>
      </c>
      <c r="I73" s="16">
        <f t="shared" si="5"/>
        <v>10.5879801682133</v>
      </c>
    </row>
    <row r="74" ht="15.75" spans="1:9">
      <c r="A74" s="17"/>
      <c r="B74" s="17"/>
      <c r="C74" s="10"/>
      <c r="D74" s="13" t="s">
        <v>315</v>
      </c>
      <c r="E74" s="44">
        <v>66367</v>
      </c>
      <c r="F74" s="19">
        <v>58253</v>
      </c>
      <c r="G74" s="16">
        <f t="shared" si="4"/>
        <v>1.57915962645</v>
      </c>
      <c r="H74" s="20">
        <v>0.209264015687527</v>
      </c>
      <c r="I74" s="16">
        <f t="shared" si="5"/>
        <v>1.78842364213753</v>
      </c>
    </row>
    <row r="75" ht="15.75" spans="1:9">
      <c r="A75" s="17"/>
      <c r="B75" s="17"/>
      <c r="C75" s="10"/>
      <c r="D75" s="13" t="s">
        <v>40</v>
      </c>
      <c r="E75" s="44">
        <v>6871</v>
      </c>
      <c r="F75" s="19">
        <v>4807</v>
      </c>
      <c r="G75" s="16">
        <f t="shared" si="4"/>
        <v>0.16349097885</v>
      </c>
      <c r="H75" s="20">
        <v>0.0283750192592625</v>
      </c>
      <c r="I75" s="16">
        <f t="shared" si="5"/>
        <v>0.191865998109262</v>
      </c>
    </row>
    <row r="76" ht="15.75" spans="1:9">
      <c r="A76" s="21"/>
      <c r="B76" s="21"/>
      <c r="C76" s="10" t="s">
        <v>27</v>
      </c>
      <c r="D76" s="13" t="s">
        <v>31</v>
      </c>
      <c r="E76" s="44">
        <v>45</v>
      </c>
      <c r="F76" s="19">
        <v>42</v>
      </c>
      <c r="G76" s="16">
        <f t="shared" si="4"/>
        <v>0.00107074575</v>
      </c>
      <c r="H76" s="20">
        <v>0.000194930580785714</v>
      </c>
      <c r="I76" s="16">
        <f t="shared" si="5"/>
        <v>0.00126567633078571</v>
      </c>
    </row>
    <row r="78" ht="15.75" spans="1:9">
      <c r="A78" s="6" t="s">
        <v>105</v>
      </c>
      <c r="B78" s="6"/>
      <c r="C78" s="6"/>
      <c r="D78" s="6"/>
      <c r="E78" s="27"/>
      <c r="F78" s="77"/>
      <c r="G78" s="8" t="s">
        <v>8</v>
      </c>
      <c r="H78" s="8"/>
      <c r="I78" s="8"/>
    </row>
    <row r="79" ht="47.25" spans="1:9">
      <c r="A79" s="35" t="s">
        <v>103</v>
      </c>
      <c r="B79" s="35" t="s">
        <v>104</v>
      </c>
      <c r="C79" s="35" t="s">
        <v>11</v>
      </c>
      <c r="D79" s="35" t="s">
        <v>106</v>
      </c>
      <c r="E79" s="35" t="s">
        <v>13</v>
      </c>
      <c r="F79" s="35" t="s">
        <v>84</v>
      </c>
      <c r="G79" s="35" t="s">
        <v>15</v>
      </c>
      <c r="H79" s="35" t="s">
        <v>16</v>
      </c>
      <c r="I79" s="35" t="s">
        <v>17</v>
      </c>
    </row>
    <row r="80" s="1" customFormat="1" ht="15.75" spans="1:9">
      <c r="A80" s="41" t="s">
        <v>18</v>
      </c>
      <c r="B80" s="37" t="s">
        <v>19</v>
      </c>
      <c r="C80" s="36" t="s">
        <v>20</v>
      </c>
      <c r="D80" s="37" t="s">
        <v>21</v>
      </c>
      <c r="E80" s="37" t="s">
        <v>22</v>
      </c>
      <c r="F80" s="37" t="s">
        <v>23</v>
      </c>
      <c r="G80" s="37" t="s">
        <v>24</v>
      </c>
      <c r="H80" s="37" t="s">
        <v>25</v>
      </c>
      <c r="I80" s="37" t="s">
        <v>26</v>
      </c>
    </row>
    <row r="81" ht="15.75" spans="1:9">
      <c r="A81" s="83">
        <v>1</v>
      </c>
      <c r="B81" s="70">
        <v>2025</v>
      </c>
      <c r="C81" s="10" t="s">
        <v>317</v>
      </c>
      <c r="D81" s="13" t="s">
        <v>316</v>
      </c>
      <c r="E81" s="15">
        <v>11574</v>
      </c>
      <c r="F81" s="19">
        <v>1731</v>
      </c>
      <c r="G81" s="43">
        <f t="shared" ref="G81:G84" si="6">E81*(162*365)/POWER(10,9)</f>
        <v>0.68437062</v>
      </c>
      <c r="H81" s="20">
        <v>0.0296434619642857</v>
      </c>
      <c r="I81" s="120">
        <f>G81+H81</f>
        <v>0.714014081964286</v>
      </c>
    </row>
    <row r="82" ht="15.75" spans="1:9">
      <c r="A82" s="84"/>
      <c r="B82" s="84"/>
      <c r="C82" s="10"/>
      <c r="D82" s="108" t="s">
        <v>319</v>
      </c>
      <c r="E82" s="15">
        <v>12868</v>
      </c>
      <c r="F82" s="19">
        <v>14020</v>
      </c>
      <c r="G82" s="43">
        <f t="shared" si="6"/>
        <v>0.76088484</v>
      </c>
      <c r="H82" s="20">
        <v>0.178771277321429</v>
      </c>
      <c r="I82" s="120">
        <f>G82+H82</f>
        <v>0.939656117321429</v>
      </c>
    </row>
    <row r="83" ht="15.75" spans="1:9">
      <c r="A83" s="83">
        <v>2</v>
      </c>
      <c r="B83" s="70">
        <v>2050</v>
      </c>
      <c r="C83" s="10" t="s">
        <v>317</v>
      </c>
      <c r="D83" s="13" t="s">
        <v>316</v>
      </c>
      <c r="E83" s="15">
        <v>13462</v>
      </c>
      <c r="F83" s="19">
        <v>2180</v>
      </c>
      <c r="G83" s="43">
        <f t="shared" si="6"/>
        <v>0.79600806</v>
      </c>
      <c r="H83" s="20">
        <v>0.025762795</v>
      </c>
      <c r="I83" s="120">
        <f>G83+H83</f>
        <v>0.821770855</v>
      </c>
    </row>
    <row r="84" ht="37.2" customHeight="1" spans="1:9">
      <c r="A84" s="84"/>
      <c r="B84" s="84"/>
      <c r="C84" s="10"/>
      <c r="D84" s="108" t="s">
        <v>319</v>
      </c>
      <c r="E84" s="15">
        <v>18433</v>
      </c>
      <c r="F84" s="19">
        <v>31109</v>
      </c>
      <c r="G84" s="43">
        <f t="shared" si="6"/>
        <v>1.08994329</v>
      </c>
      <c r="H84" s="20">
        <v>0.250287813035714</v>
      </c>
      <c r="I84" s="120">
        <f>G84+H84</f>
        <v>1.34023110303571</v>
      </c>
    </row>
    <row r="86" ht="15.6" customHeight="1" spans="1:9">
      <c r="A86" s="45" t="s">
        <v>108</v>
      </c>
      <c r="B86" s="7" t="s">
        <v>109</v>
      </c>
      <c r="C86" s="46"/>
      <c r="D86" s="46"/>
      <c r="E86" s="46"/>
      <c r="F86" s="46"/>
      <c r="G86" s="46"/>
      <c r="H86" s="46"/>
      <c r="I86" s="46"/>
    </row>
    <row r="87" ht="15.6" customHeight="1" spans="1:9">
      <c r="A87" s="46"/>
      <c r="B87" s="7" t="s">
        <v>110</v>
      </c>
      <c r="C87" s="47"/>
      <c r="D87" s="47"/>
      <c r="E87" s="47"/>
      <c r="F87" s="47"/>
      <c r="G87" s="47"/>
      <c r="H87" s="47"/>
      <c r="I87" s="47"/>
    </row>
    <row r="89" spans="2:2">
      <c r="B89" s="48" t="s">
        <v>111</v>
      </c>
    </row>
    <row r="90" s="2" customFormat="1" ht="15" customHeight="1" spans="2:2">
      <c r="B90" s="49" t="s">
        <v>112</v>
      </c>
    </row>
    <row r="91" s="2" customFormat="1" ht="15" customHeight="1" spans="2:2">
      <c r="B91" s="50" t="s">
        <v>113</v>
      </c>
    </row>
    <row r="92" s="2" customFormat="1" ht="15" customHeight="1" spans="2:2">
      <c r="B92" s="50" t="s">
        <v>114</v>
      </c>
    </row>
    <row r="93" s="2" customFormat="1" spans="2:2">
      <c r="B93" s="51"/>
    </row>
    <row r="94" s="2" customFormat="1" spans="2:2">
      <c r="B94" s="49" t="s">
        <v>115</v>
      </c>
    </row>
    <row r="95" s="2" customFormat="1" ht="16.5" customHeight="1" spans="2:2">
      <c r="B95" s="50" t="s">
        <v>116</v>
      </c>
    </row>
    <row r="96" s="2" customFormat="1" ht="16.5" customHeight="1" spans="2:2">
      <c r="B96" s="50" t="s">
        <v>117</v>
      </c>
    </row>
    <row r="97" spans="2:2">
      <c r="B97" s="55"/>
    </row>
    <row r="98" spans="2:2">
      <c r="B98" s="49" t="s">
        <v>118</v>
      </c>
    </row>
    <row r="99" spans="2:2">
      <c r="B99" s="56" t="s">
        <v>119</v>
      </c>
    </row>
    <row r="100" spans="2:2">
      <c r="B100" s="56" t="s">
        <v>120</v>
      </c>
    </row>
    <row r="101" spans="2:2">
      <c r="B101" s="56" t="s">
        <v>121</v>
      </c>
    </row>
    <row r="102" spans="2:2">
      <c r="B102" s="56" t="s">
        <v>122</v>
      </c>
    </row>
    <row r="103" spans="2:2">
      <c r="B103" s="49" t="s">
        <v>123</v>
      </c>
    </row>
    <row r="104" spans="2:2">
      <c r="B104" s="49" t="s">
        <v>124</v>
      </c>
    </row>
    <row r="105" spans="2:2">
      <c r="B105" s="56" t="s">
        <v>125</v>
      </c>
    </row>
    <row r="106" spans="2:2">
      <c r="B106" s="56" t="s">
        <v>126</v>
      </c>
    </row>
    <row r="107" spans="2:2">
      <c r="B107" s="56" t="s">
        <v>127</v>
      </c>
    </row>
    <row r="108" spans="2:2">
      <c r="B108" s="56" t="s">
        <v>128</v>
      </c>
    </row>
    <row r="109" spans="2:2">
      <c r="B109" s="56" t="s">
        <v>129</v>
      </c>
    </row>
    <row r="110" spans="2:2">
      <c r="B110" s="56"/>
    </row>
    <row r="111" spans="2:2">
      <c r="B111" s="49" t="s">
        <v>130</v>
      </c>
    </row>
    <row r="112" ht="15.75" spans="2:2">
      <c r="B112" s="57"/>
    </row>
    <row r="113" spans="2:2">
      <c r="B113" s="58" t="s">
        <v>131</v>
      </c>
    </row>
    <row r="114" spans="2:2">
      <c r="B114" s="58" t="s">
        <v>132</v>
      </c>
    </row>
    <row r="115" spans="2:2">
      <c r="B115" s="59" t="s">
        <v>133</v>
      </c>
    </row>
    <row r="117" ht="40.95" customHeight="1" spans="2:9">
      <c r="B117" s="119" t="s">
        <v>320</v>
      </c>
      <c r="C117" s="119"/>
      <c r="D117" s="119"/>
      <c r="E117" s="119"/>
      <c r="F117" s="119"/>
      <c r="G117" s="119"/>
      <c r="H117" s="119"/>
      <c r="I117" s="119"/>
    </row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30" ht="15" customHeight="1"/>
    <row r="131" ht="15" customHeight="1"/>
    <row r="132" ht="15" customHeight="1"/>
    <row r="135" ht="16.5" customHeight="1"/>
    <row r="136" ht="16.5" customHeight="1"/>
    <row r="137" ht="16.5" customHeight="1"/>
    <row r="138" ht="16.5" customHeight="1"/>
    <row r="139" ht="16.5" customHeight="1"/>
    <row r="152" ht="13.95" customHeight="1"/>
    <row r="153" ht="13.95" customHeight="1"/>
    <row r="154" ht="13.95" customHeight="1"/>
    <row r="155" ht="13.95" customHeight="1"/>
  </sheetData>
  <mergeCells count="56">
    <mergeCell ref="A2:I2"/>
    <mergeCell ref="A3:I3"/>
    <mergeCell ref="A4:I4"/>
    <mergeCell ref="A5:I5"/>
    <mergeCell ref="A6:I6"/>
    <mergeCell ref="A7:E7"/>
    <mergeCell ref="G7:I7"/>
    <mergeCell ref="G46:I46"/>
    <mergeCell ref="A59:I59"/>
    <mergeCell ref="G60:I60"/>
    <mergeCell ref="A78:D78"/>
    <mergeCell ref="G78:I78"/>
    <mergeCell ref="B86:I86"/>
    <mergeCell ref="B87:I87"/>
    <mergeCell ref="B117:I117"/>
    <mergeCell ref="A10:A16"/>
    <mergeCell ref="A17:A23"/>
    <mergeCell ref="A24:A30"/>
    <mergeCell ref="A31:A37"/>
    <mergeCell ref="A38:A44"/>
    <mergeCell ref="A49:A50"/>
    <mergeCell ref="A51:A52"/>
    <mergeCell ref="A53:A54"/>
    <mergeCell ref="A63:A69"/>
    <mergeCell ref="A70:A76"/>
    <mergeCell ref="A81:A82"/>
    <mergeCell ref="A83:A84"/>
    <mergeCell ref="B10:B16"/>
    <mergeCell ref="B17:B23"/>
    <mergeCell ref="B24:B30"/>
    <mergeCell ref="B31:B37"/>
    <mergeCell ref="B38:B44"/>
    <mergeCell ref="B49:B50"/>
    <mergeCell ref="B51:B52"/>
    <mergeCell ref="B53:B54"/>
    <mergeCell ref="B63:B69"/>
    <mergeCell ref="B70:B76"/>
    <mergeCell ref="B81:B82"/>
    <mergeCell ref="B83:B84"/>
    <mergeCell ref="C10:C16"/>
    <mergeCell ref="C17:C23"/>
    <mergeCell ref="C24:C25"/>
    <mergeCell ref="C26:C30"/>
    <mergeCell ref="C31:C32"/>
    <mergeCell ref="C33:C37"/>
    <mergeCell ref="C38:C39"/>
    <mergeCell ref="C40:C43"/>
    <mergeCell ref="C49:C50"/>
    <mergeCell ref="C51:C52"/>
    <mergeCell ref="C53:C54"/>
    <mergeCell ref="C63:C64"/>
    <mergeCell ref="C65:C68"/>
    <mergeCell ref="C70:C71"/>
    <mergeCell ref="C72:C75"/>
    <mergeCell ref="C81:C82"/>
    <mergeCell ref="C83:C84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5" manualBreakCount="5">
    <brk id="27" max="8" man="1"/>
    <brk id="44" max="8" man="1"/>
    <brk id="58" max="8" man="1"/>
    <brk id="76" max="8" man="1"/>
    <brk id="93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153"/>
  <sheetViews>
    <sheetView view="pageBreakPreview" zoomScale="85" zoomScaleNormal="90" topLeftCell="A124" workbookViewId="0">
      <selection activeCell="O8" sqref="O8"/>
    </sheetView>
  </sheetViews>
  <sheetFormatPr defaultColWidth="9" defaultRowHeight="14.25"/>
  <cols>
    <col min="1" max="1" width="7" customWidth="1"/>
    <col min="2" max="2" width="19.6" customWidth="1"/>
    <col min="3" max="3" width="13.6" customWidth="1"/>
    <col min="4" max="4" width="22.6" customWidth="1"/>
    <col min="5" max="6" width="12.6" customWidth="1"/>
    <col min="7" max="7" width="12.7" customWidth="1"/>
    <col min="8" max="8" width="9.5" customWidth="1"/>
    <col min="9" max="9" width="17.5" customWidth="1"/>
    <col min="10" max="11" width="8"/>
    <col min="12" max="12" width="14.6" customWidth="1"/>
    <col min="13" max="15" width="8"/>
    <col min="16" max="16" width="8.2" customWidth="1"/>
    <col min="17" max="25" width="8"/>
    <col min="26" max="26" width="13.7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ht="15.75" spans="1:9">
      <c r="A3" s="7" t="s">
        <v>321</v>
      </c>
      <c r="B3" s="7"/>
      <c r="C3" s="7"/>
      <c r="D3" s="7"/>
      <c r="E3" s="7"/>
      <c r="F3" s="7"/>
      <c r="G3" s="7"/>
      <c r="H3" s="7"/>
      <c r="I3" s="7"/>
    </row>
    <row r="4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ht="15.75" spans="1:9">
      <c r="A5" s="5" t="s">
        <v>322</v>
      </c>
      <c r="B5" s="5"/>
      <c r="C5" s="5"/>
      <c r="D5" s="5"/>
      <c r="E5" s="5"/>
      <c r="F5" s="5"/>
      <c r="G5" s="5"/>
      <c r="H5" s="5"/>
      <c r="I5" s="5"/>
    </row>
    <row r="6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spans="1:9">
      <c r="A7" s="6" t="s">
        <v>7</v>
      </c>
      <c r="B7" s="6"/>
      <c r="C7" s="6"/>
      <c r="D7" s="6"/>
      <c r="E7" s="6"/>
      <c r="F7" s="80" t="s">
        <v>8</v>
      </c>
      <c r="G7" s="81"/>
      <c r="H7" s="81"/>
      <c r="I7" s="95"/>
    </row>
    <row r="8" ht="47.25" spans="1:9">
      <c r="A8" s="9" t="s">
        <v>9</v>
      </c>
      <c r="B8" s="10" t="s">
        <v>10</v>
      </c>
      <c r="C8" s="9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10" t="s">
        <v>16</v>
      </c>
      <c r="I8" s="10" t="s">
        <v>17</v>
      </c>
    </row>
    <row r="9" ht="15.75" spans="1:9">
      <c r="A9" s="9" t="s">
        <v>18</v>
      </c>
      <c r="B9" s="10" t="s">
        <v>19</v>
      </c>
      <c r="C9" s="9" t="s">
        <v>20</v>
      </c>
      <c r="D9" s="11" t="s">
        <v>21</v>
      </c>
      <c r="E9" s="11" t="s">
        <v>22</v>
      </c>
      <c r="F9" s="11" t="s">
        <v>23</v>
      </c>
      <c r="G9" s="11" t="s">
        <v>24</v>
      </c>
      <c r="H9" s="11" t="s">
        <v>25</v>
      </c>
      <c r="I9" s="11" t="s">
        <v>26</v>
      </c>
    </row>
    <row r="10" ht="15.75" spans="1:9">
      <c r="A10" s="71">
        <v>1</v>
      </c>
      <c r="B10" s="71">
        <v>1981</v>
      </c>
      <c r="C10" s="10" t="s">
        <v>48</v>
      </c>
      <c r="D10" s="13" t="s">
        <v>50</v>
      </c>
      <c r="E10" s="42">
        <v>10</v>
      </c>
      <c r="F10" s="15" t="s">
        <v>29</v>
      </c>
      <c r="G10" s="82">
        <f>E10*(65.19*365)/POWER(10,9)</f>
        <v>0.0002379435</v>
      </c>
      <c r="H10" s="15" t="s">
        <v>29</v>
      </c>
      <c r="I10" s="82">
        <f>G10</f>
        <v>0.0002379435</v>
      </c>
    </row>
    <row r="11" ht="15.75" spans="1:9">
      <c r="A11" s="71"/>
      <c r="B11" s="71"/>
      <c r="C11" s="11" t="s">
        <v>27</v>
      </c>
      <c r="D11" s="13" t="s">
        <v>34</v>
      </c>
      <c r="E11" s="42">
        <v>112284</v>
      </c>
      <c r="F11" s="15" t="s">
        <v>29</v>
      </c>
      <c r="G11" s="43">
        <f t="shared" ref="G11:G25" si="0">E11*(65.19*365)/POWER(10,9)</f>
        <v>2.6717247954</v>
      </c>
      <c r="H11" s="15" t="s">
        <v>29</v>
      </c>
      <c r="I11" s="82">
        <f t="shared" ref="I11:I25" si="1">G11</f>
        <v>2.6717247954</v>
      </c>
    </row>
    <row r="12" ht="15.75" spans="1:9">
      <c r="A12" s="71"/>
      <c r="B12" s="71"/>
      <c r="C12" s="22"/>
      <c r="D12" s="13" t="s">
        <v>35</v>
      </c>
      <c r="E12" s="42">
        <v>3019</v>
      </c>
      <c r="F12" s="15" t="s">
        <v>29</v>
      </c>
      <c r="G12" s="43">
        <f t="shared" si="0"/>
        <v>0.07183514265</v>
      </c>
      <c r="H12" s="15" t="s">
        <v>29</v>
      </c>
      <c r="I12" s="82">
        <f t="shared" si="1"/>
        <v>0.07183514265</v>
      </c>
    </row>
    <row r="13" ht="15.75" spans="1:9">
      <c r="A13" s="71"/>
      <c r="B13" s="71"/>
      <c r="C13" s="22"/>
      <c r="D13" s="13" t="s">
        <v>41</v>
      </c>
      <c r="E13" s="42">
        <v>955</v>
      </c>
      <c r="F13" s="15" t="s">
        <v>29</v>
      </c>
      <c r="G13" s="43">
        <f t="shared" si="0"/>
        <v>0.02272360425</v>
      </c>
      <c r="H13" s="15" t="s">
        <v>29</v>
      </c>
      <c r="I13" s="82">
        <f t="shared" si="1"/>
        <v>0.02272360425</v>
      </c>
    </row>
    <row r="14" ht="15.75" spans="1:9">
      <c r="A14" s="71"/>
      <c r="B14" s="71"/>
      <c r="C14" s="22"/>
      <c r="D14" s="13" t="s">
        <v>46</v>
      </c>
      <c r="E14" s="42">
        <v>75257</v>
      </c>
      <c r="F14" s="15" t="s">
        <v>29</v>
      </c>
      <c r="G14" s="43">
        <f t="shared" si="0"/>
        <v>1.79069139795</v>
      </c>
      <c r="H14" s="15" t="s">
        <v>29</v>
      </c>
      <c r="I14" s="82">
        <f t="shared" si="1"/>
        <v>1.79069139795</v>
      </c>
    </row>
    <row r="15" ht="15.75" spans="1:9">
      <c r="A15" s="71"/>
      <c r="B15" s="71"/>
      <c r="C15" s="22"/>
      <c r="D15" s="13" t="s">
        <v>323</v>
      </c>
      <c r="E15" s="42">
        <v>5171</v>
      </c>
      <c r="F15" s="15" t="s">
        <v>29</v>
      </c>
      <c r="G15" s="43">
        <f t="shared" si="0"/>
        <v>0.12304058385</v>
      </c>
      <c r="H15" s="15" t="s">
        <v>29</v>
      </c>
      <c r="I15" s="82">
        <f t="shared" si="1"/>
        <v>0.12304058385</v>
      </c>
    </row>
    <row r="16" ht="15.75" spans="1:9">
      <c r="A16" s="71"/>
      <c r="B16" s="71"/>
      <c r="C16" s="22"/>
      <c r="D16" s="13" t="s">
        <v>43</v>
      </c>
      <c r="E16" s="42">
        <v>118145</v>
      </c>
      <c r="F16" s="15" t="s">
        <v>29</v>
      </c>
      <c r="G16" s="43">
        <f t="shared" si="0"/>
        <v>2.81118348075</v>
      </c>
      <c r="H16" s="15" t="s">
        <v>29</v>
      </c>
      <c r="I16" s="82">
        <f t="shared" si="1"/>
        <v>2.81118348075</v>
      </c>
    </row>
    <row r="17" ht="15.75" spans="1:9">
      <c r="A17" s="71"/>
      <c r="B17" s="71"/>
      <c r="C17" s="23"/>
      <c r="D17" s="13" t="s">
        <v>45</v>
      </c>
      <c r="E17" s="42">
        <v>14206</v>
      </c>
      <c r="F17" s="15" t="s">
        <v>29</v>
      </c>
      <c r="G17" s="43">
        <f t="shared" si="0"/>
        <v>0.3380225361</v>
      </c>
      <c r="H17" s="15" t="s">
        <v>29</v>
      </c>
      <c r="I17" s="82">
        <f t="shared" si="1"/>
        <v>0.3380225361</v>
      </c>
    </row>
    <row r="18" ht="15.75" spans="1:9">
      <c r="A18" s="71">
        <v>2</v>
      </c>
      <c r="B18" s="70">
        <v>1991</v>
      </c>
      <c r="C18" s="10" t="s">
        <v>48</v>
      </c>
      <c r="D18" s="13" t="s">
        <v>50</v>
      </c>
      <c r="E18" s="42">
        <v>13</v>
      </c>
      <c r="F18" s="15" t="s">
        <v>29</v>
      </c>
      <c r="G18" s="43">
        <f t="shared" si="0"/>
        <v>0.00030932655</v>
      </c>
      <c r="H18" s="15" t="s">
        <v>29</v>
      </c>
      <c r="I18" s="82">
        <f t="shared" si="1"/>
        <v>0.00030932655</v>
      </c>
    </row>
    <row r="19" ht="15.75" spans="1:9">
      <c r="A19" s="71"/>
      <c r="B19" s="83"/>
      <c r="C19" s="11" t="s">
        <v>27</v>
      </c>
      <c r="D19" s="13" t="s">
        <v>34</v>
      </c>
      <c r="E19" s="42">
        <v>142666</v>
      </c>
      <c r="F19" s="15" t="s">
        <v>29</v>
      </c>
      <c r="G19" s="43">
        <f t="shared" si="0"/>
        <v>3.3946447371</v>
      </c>
      <c r="H19" s="15" t="s">
        <v>29</v>
      </c>
      <c r="I19" s="82">
        <f t="shared" si="1"/>
        <v>3.3946447371</v>
      </c>
    </row>
    <row r="20" ht="15.75" spans="1:9">
      <c r="A20" s="71"/>
      <c r="B20" s="83"/>
      <c r="C20" s="22"/>
      <c r="D20" s="13" t="s">
        <v>35</v>
      </c>
      <c r="E20" s="42">
        <v>3836</v>
      </c>
      <c r="F20" s="15" t="s">
        <v>29</v>
      </c>
      <c r="G20" s="43">
        <f t="shared" si="0"/>
        <v>0.0912751266</v>
      </c>
      <c r="H20" s="15" t="s">
        <v>29</v>
      </c>
      <c r="I20" s="82">
        <f t="shared" si="1"/>
        <v>0.0912751266</v>
      </c>
    </row>
    <row r="21" ht="15.75" spans="1:9">
      <c r="A21" s="71"/>
      <c r="B21" s="83"/>
      <c r="C21" s="22"/>
      <c r="D21" s="13" t="s">
        <v>41</v>
      </c>
      <c r="E21" s="42">
        <v>1158</v>
      </c>
      <c r="F21" s="15" t="s">
        <v>29</v>
      </c>
      <c r="G21" s="43">
        <f t="shared" si="0"/>
        <v>0.0275538573</v>
      </c>
      <c r="H21" s="15" t="s">
        <v>29</v>
      </c>
      <c r="I21" s="82">
        <f t="shared" si="1"/>
        <v>0.0275538573</v>
      </c>
    </row>
    <row r="22" ht="15.75" spans="1:9">
      <c r="A22" s="71"/>
      <c r="B22" s="83"/>
      <c r="C22" s="22"/>
      <c r="D22" s="13" t="s">
        <v>46</v>
      </c>
      <c r="E22" s="42">
        <v>87585</v>
      </c>
      <c r="F22" s="15" t="s">
        <v>29</v>
      </c>
      <c r="G22" s="43">
        <f t="shared" si="0"/>
        <v>2.08402814475</v>
      </c>
      <c r="H22" s="15" t="s">
        <v>29</v>
      </c>
      <c r="I22" s="82">
        <f t="shared" si="1"/>
        <v>2.08402814475</v>
      </c>
    </row>
    <row r="23" ht="15.75" spans="1:9">
      <c r="A23" s="71"/>
      <c r="B23" s="83"/>
      <c r="C23" s="22"/>
      <c r="D23" s="13" t="s">
        <v>323</v>
      </c>
      <c r="E23" s="42">
        <v>6018</v>
      </c>
      <c r="F23" s="15" t="s">
        <v>29</v>
      </c>
      <c r="G23" s="43">
        <f t="shared" si="0"/>
        <v>0.1431943983</v>
      </c>
      <c r="H23" s="15" t="s">
        <v>29</v>
      </c>
      <c r="I23" s="82">
        <f t="shared" si="1"/>
        <v>0.1431943983</v>
      </c>
    </row>
    <row r="24" ht="15.75" spans="1:9">
      <c r="A24" s="71"/>
      <c r="B24" s="83"/>
      <c r="C24" s="22"/>
      <c r="D24" s="13" t="s">
        <v>43</v>
      </c>
      <c r="E24" s="42">
        <v>137498</v>
      </c>
      <c r="F24" s="15" t="s">
        <v>29</v>
      </c>
      <c r="G24" s="43">
        <f t="shared" si="0"/>
        <v>3.2716755363</v>
      </c>
      <c r="H24" s="15" t="s">
        <v>29</v>
      </c>
      <c r="I24" s="82">
        <f t="shared" si="1"/>
        <v>3.2716755363</v>
      </c>
    </row>
    <row r="25" ht="15.75" spans="1:9">
      <c r="A25" s="71"/>
      <c r="B25" s="84"/>
      <c r="C25" s="23"/>
      <c r="D25" s="13" t="s">
        <v>45</v>
      </c>
      <c r="E25" s="42">
        <v>16533</v>
      </c>
      <c r="F25" s="15" t="s">
        <v>29</v>
      </c>
      <c r="G25" s="43">
        <f t="shared" si="0"/>
        <v>0.39339198855</v>
      </c>
      <c r="H25" s="15" t="s">
        <v>29</v>
      </c>
      <c r="I25" s="82">
        <f t="shared" si="1"/>
        <v>0.39339198855</v>
      </c>
    </row>
    <row r="26" ht="15.75" spans="1:11">
      <c r="A26" s="71">
        <v>3</v>
      </c>
      <c r="B26" s="71">
        <v>2001</v>
      </c>
      <c r="C26" s="10" t="s">
        <v>95</v>
      </c>
      <c r="D26" s="13" t="s">
        <v>50</v>
      </c>
      <c r="E26" s="42">
        <v>15</v>
      </c>
      <c r="F26" s="19">
        <v>11</v>
      </c>
      <c r="G26" s="82">
        <f t="shared" ref="G26:G49" si="2">E26*(65.19*365)/POWER(10,9)</f>
        <v>0.00035691525</v>
      </c>
      <c r="H26" s="85">
        <v>0.000311545477646859</v>
      </c>
      <c r="I26" s="82">
        <f t="shared" ref="I26:I49" si="3">G26+H26</f>
        <v>0.000668460727646859</v>
      </c>
      <c r="K26" s="53"/>
    </row>
    <row r="27" ht="15.75" spans="1:11">
      <c r="A27" s="71"/>
      <c r="B27" s="71"/>
      <c r="C27" s="10" t="s">
        <v>140</v>
      </c>
      <c r="D27" s="13" t="s">
        <v>46</v>
      </c>
      <c r="E27" s="42">
        <v>93476</v>
      </c>
      <c r="F27" s="19">
        <v>68203</v>
      </c>
      <c r="G27" s="43">
        <f t="shared" si="2"/>
        <v>2.2242006606</v>
      </c>
      <c r="H27" s="20">
        <v>1.62153657473627</v>
      </c>
      <c r="I27" s="43">
        <f t="shared" si="3"/>
        <v>3.84573723533627</v>
      </c>
      <c r="K27" s="53"/>
    </row>
    <row r="28" ht="15.75" spans="1:11">
      <c r="A28" s="71"/>
      <c r="B28" s="71"/>
      <c r="C28" s="10"/>
      <c r="D28" s="13" t="s">
        <v>323</v>
      </c>
      <c r="E28" s="42">
        <v>6422</v>
      </c>
      <c r="F28" s="19">
        <v>9880</v>
      </c>
      <c r="G28" s="43">
        <f t="shared" si="2"/>
        <v>0.1528073157</v>
      </c>
      <c r="H28" s="20">
        <v>0.188681526080275</v>
      </c>
      <c r="I28" s="43">
        <f t="shared" si="3"/>
        <v>0.341488841780275</v>
      </c>
      <c r="K28" s="53"/>
    </row>
    <row r="29" ht="15.75" spans="1:11">
      <c r="A29" s="71"/>
      <c r="B29" s="71"/>
      <c r="C29" s="10"/>
      <c r="D29" s="13" t="s">
        <v>45</v>
      </c>
      <c r="E29" s="42">
        <v>17645</v>
      </c>
      <c r="F29" s="19">
        <v>27366</v>
      </c>
      <c r="G29" s="43">
        <f t="shared" si="2"/>
        <v>0.41985130575</v>
      </c>
      <c r="H29" s="20">
        <v>0.517622836681199</v>
      </c>
      <c r="I29" s="43">
        <f t="shared" si="3"/>
        <v>0.937474142431199</v>
      </c>
      <c r="K29" s="53"/>
    </row>
    <row r="30" ht="15.75" spans="1:11">
      <c r="A30" s="71"/>
      <c r="B30" s="71"/>
      <c r="C30" s="10"/>
      <c r="D30" s="13" t="s">
        <v>43</v>
      </c>
      <c r="E30" s="42">
        <v>146746</v>
      </c>
      <c r="F30" s="19">
        <v>133713</v>
      </c>
      <c r="G30" s="43">
        <f t="shared" si="2"/>
        <v>3.4917256851</v>
      </c>
      <c r="H30" s="20">
        <v>3.39771694887423</v>
      </c>
      <c r="I30" s="43">
        <f t="shared" si="3"/>
        <v>6.88944263397423</v>
      </c>
      <c r="K30" s="53"/>
    </row>
    <row r="31" ht="15.75" spans="1:11">
      <c r="A31" s="71"/>
      <c r="B31" s="71"/>
      <c r="C31" s="10" t="s">
        <v>27</v>
      </c>
      <c r="D31" s="13" t="s">
        <v>35</v>
      </c>
      <c r="E31" s="42">
        <v>3727</v>
      </c>
      <c r="F31" s="19">
        <v>4448</v>
      </c>
      <c r="G31" s="43">
        <f t="shared" si="2"/>
        <v>0.08868154245</v>
      </c>
      <c r="H31" s="20">
        <v>0.143482283681395</v>
      </c>
      <c r="I31" s="43">
        <f t="shared" si="3"/>
        <v>0.232163826131395</v>
      </c>
      <c r="K31" s="53"/>
    </row>
    <row r="32" ht="15.75" spans="1:11">
      <c r="A32" s="71"/>
      <c r="B32" s="71"/>
      <c r="C32" s="10"/>
      <c r="D32" s="13" t="s">
        <v>41</v>
      </c>
      <c r="E32" s="42">
        <v>1401</v>
      </c>
      <c r="F32" s="19">
        <v>963</v>
      </c>
      <c r="G32" s="43">
        <f t="shared" si="2"/>
        <v>0.03333588435</v>
      </c>
      <c r="H32" s="20">
        <v>0.0193267738779532</v>
      </c>
      <c r="I32" s="43">
        <f t="shared" si="3"/>
        <v>0.0526626582279532</v>
      </c>
      <c r="K32" s="53"/>
    </row>
    <row r="33" ht="15.75" spans="1:11">
      <c r="A33" s="71"/>
      <c r="B33" s="71"/>
      <c r="C33" s="10"/>
      <c r="D33" s="13" t="s">
        <v>34</v>
      </c>
      <c r="E33" s="42">
        <v>138625</v>
      </c>
      <c r="F33" s="19">
        <v>68419</v>
      </c>
      <c r="G33" s="43">
        <f t="shared" si="2"/>
        <v>3.29849176875</v>
      </c>
      <c r="H33" s="20">
        <v>2.21758573611272</v>
      </c>
      <c r="I33" s="43">
        <f t="shared" si="3"/>
        <v>5.51607750486272</v>
      </c>
      <c r="K33" s="53"/>
    </row>
    <row r="34" ht="15.75" spans="1:11">
      <c r="A34" s="71">
        <v>4</v>
      </c>
      <c r="B34" s="71">
        <v>2011</v>
      </c>
      <c r="C34" s="10" t="s">
        <v>95</v>
      </c>
      <c r="D34" s="13" t="s">
        <v>50</v>
      </c>
      <c r="E34" s="42">
        <v>18</v>
      </c>
      <c r="F34" s="19">
        <v>7</v>
      </c>
      <c r="G34" s="82">
        <f t="shared" si="2"/>
        <v>0.0004282983</v>
      </c>
      <c r="H34" s="85">
        <v>0.00024694879022</v>
      </c>
      <c r="I34" s="82">
        <f t="shared" si="3"/>
        <v>0.00067524709022</v>
      </c>
      <c r="K34" s="53"/>
    </row>
    <row r="35" ht="15.75" spans="1:11">
      <c r="A35" s="71"/>
      <c r="B35" s="71"/>
      <c r="C35" s="10" t="s">
        <v>140</v>
      </c>
      <c r="D35" s="13" t="s">
        <v>46</v>
      </c>
      <c r="E35" s="42">
        <v>111866</v>
      </c>
      <c r="F35" s="19">
        <v>163510</v>
      </c>
      <c r="G35" s="43">
        <f t="shared" si="2"/>
        <v>2.6617787571</v>
      </c>
      <c r="H35" s="20">
        <v>2.26793038945443</v>
      </c>
      <c r="I35" s="43">
        <f t="shared" si="3"/>
        <v>4.92970914655443</v>
      </c>
      <c r="K35" s="53"/>
    </row>
    <row r="36" ht="15.75" spans="1:11">
      <c r="A36" s="71"/>
      <c r="B36" s="71"/>
      <c r="C36" s="10"/>
      <c r="D36" s="13" t="s">
        <v>323</v>
      </c>
      <c r="E36" s="42">
        <v>7686</v>
      </c>
      <c r="F36" s="19">
        <v>11171</v>
      </c>
      <c r="G36" s="43">
        <f t="shared" si="2"/>
        <v>0.1828833741</v>
      </c>
      <c r="H36" s="20">
        <v>0.1530901470533</v>
      </c>
      <c r="I36" s="43">
        <f t="shared" si="3"/>
        <v>0.3359735211533</v>
      </c>
      <c r="K36" s="53"/>
    </row>
    <row r="37" ht="15.75" spans="1:11">
      <c r="A37" s="71"/>
      <c r="B37" s="71"/>
      <c r="C37" s="10"/>
      <c r="D37" s="13" t="s">
        <v>45</v>
      </c>
      <c r="E37" s="42">
        <v>21117</v>
      </c>
      <c r="F37" s="19">
        <v>19924</v>
      </c>
      <c r="G37" s="43">
        <f t="shared" si="2"/>
        <v>0.50246528895</v>
      </c>
      <c r="H37" s="20">
        <v>0.491390186694493</v>
      </c>
      <c r="I37" s="43">
        <f t="shared" si="3"/>
        <v>0.993855475644493</v>
      </c>
      <c r="K37" s="53"/>
    </row>
    <row r="38" ht="15.75" spans="1:11">
      <c r="A38" s="71"/>
      <c r="B38" s="71"/>
      <c r="C38" s="10"/>
      <c r="D38" s="13" t="s">
        <v>43</v>
      </c>
      <c r="E38" s="42">
        <v>175616</v>
      </c>
      <c r="F38" s="19">
        <v>227717</v>
      </c>
      <c r="G38" s="43">
        <f t="shared" si="2"/>
        <v>4.1786685696</v>
      </c>
      <c r="H38" s="20">
        <v>3.30921090561691</v>
      </c>
      <c r="I38" s="43">
        <f t="shared" si="3"/>
        <v>7.48787947521691</v>
      </c>
      <c r="K38" s="53"/>
    </row>
    <row r="39" ht="15.75" spans="1:11">
      <c r="A39" s="71"/>
      <c r="B39" s="71"/>
      <c r="C39" s="10" t="s">
        <v>27</v>
      </c>
      <c r="D39" s="13" t="s">
        <v>35</v>
      </c>
      <c r="E39" s="42">
        <v>5467</v>
      </c>
      <c r="F39" s="19">
        <v>5165</v>
      </c>
      <c r="G39" s="43">
        <f t="shared" si="2"/>
        <v>0.13008371145</v>
      </c>
      <c r="H39" s="20">
        <v>0.12099186019739</v>
      </c>
      <c r="I39" s="43">
        <f t="shared" si="3"/>
        <v>0.25107557164739</v>
      </c>
      <c r="K39" s="53"/>
    </row>
    <row r="40" ht="15.75" spans="1:11">
      <c r="A40" s="71"/>
      <c r="B40" s="71"/>
      <c r="C40" s="10"/>
      <c r="D40" s="13" t="s">
        <v>41</v>
      </c>
      <c r="E40" s="42">
        <v>1531</v>
      </c>
      <c r="F40" s="19">
        <v>1696</v>
      </c>
      <c r="G40" s="43">
        <f t="shared" si="2"/>
        <v>0.03642914985</v>
      </c>
      <c r="H40" s="20">
        <v>0.03685399687425</v>
      </c>
      <c r="I40" s="43">
        <f t="shared" si="3"/>
        <v>0.07328314672425</v>
      </c>
      <c r="K40" s="53"/>
    </row>
    <row r="41" ht="15.75" spans="1:11">
      <c r="A41" s="71"/>
      <c r="B41" s="71"/>
      <c r="C41" s="10"/>
      <c r="D41" s="13" t="s">
        <v>34</v>
      </c>
      <c r="E41" s="42">
        <v>203336</v>
      </c>
      <c r="F41" s="19">
        <v>104288</v>
      </c>
      <c r="G41" s="43">
        <f t="shared" si="2"/>
        <v>4.8382479516</v>
      </c>
      <c r="H41" s="20">
        <v>2.11890094011698</v>
      </c>
      <c r="I41" s="43">
        <f t="shared" si="3"/>
        <v>6.95714889171698</v>
      </c>
      <c r="K41" s="53"/>
    </row>
    <row r="42" ht="15.75" spans="1:11">
      <c r="A42" s="71">
        <v>5</v>
      </c>
      <c r="B42" s="71">
        <v>2021</v>
      </c>
      <c r="C42" s="10" t="s">
        <v>33</v>
      </c>
      <c r="D42" s="13" t="s">
        <v>35</v>
      </c>
      <c r="E42" s="42">
        <v>6745</v>
      </c>
      <c r="F42" s="19">
        <v>3856</v>
      </c>
      <c r="G42" s="43">
        <f t="shared" si="2"/>
        <v>0.16049289075</v>
      </c>
      <c r="H42" s="20">
        <v>0.104639923190029</v>
      </c>
      <c r="I42" s="43">
        <f t="shared" si="3"/>
        <v>0.265132813940029</v>
      </c>
      <c r="K42" s="53"/>
    </row>
    <row r="43" ht="15.75" spans="1:11">
      <c r="A43" s="71"/>
      <c r="B43" s="71"/>
      <c r="C43" s="10"/>
      <c r="D43" s="13" t="s">
        <v>34</v>
      </c>
      <c r="E43" s="42">
        <v>250851</v>
      </c>
      <c r="F43" s="19">
        <v>127507</v>
      </c>
      <c r="G43" s="43">
        <f t="shared" si="2"/>
        <v>5.96883649185</v>
      </c>
      <c r="H43" s="20">
        <v>1.8825389527725</v>
      </c>
      <c r="I43" s="43">
        <f t="shared" si="3"/>
        <v>7.8513754446225</v>
      </c>
      <c r="K43" s="53"/>
    </row>
    <row r="44" ht="15.75" spans="1:11">
      <c r="A44" s="71"/>
      <c r="B44" s="71"/>
      <c r="C44" s="10" t="s">
        <v>42</v>
      </c>
      <c r="D44" s="13" t="s">
        <v>41</v>
      </c>
      <c r="E44" s="42">
        <v>1687</v>
      </c>
      <c r="F44" s="19">
        <v>2648</v>
      </c>
      <c r="G44" s="43">
        <f t="shared" si="2"/>
        <v>0.04014106845</v>
      </c>
      <c r="H44" s="20">
        <v>0.0314259891394821</v>
      </c>
      <c r="I44" s="43">
        <f t="shared" si="3"/>
        <v>0.0715670575894821</v>
      </c>
      <c r="K44" s="53"/>
    </row>
    <row r="45" ht="15.75" spans="1:11">
      <c r="A45" s="71"/>
      <c r="B45" s="71"/>
      <c r="C45" s="10" t="s">
        <v>95</v>
      </c>
      <c r="D45" s="13" t="s">
        <v>50</v>
      </c>
      <c r="E45" s="42">
        <v>21</v>
      </c>
      <c r="F45" s="19">
        <v>9</v>
      </c>
      <c r="G45" s="82">
        <f t="shared" si="2"/>
        <v>0.00049968135</v>
      </c>
      <c r="H45" s="85">
        <v>0.000309339621171429</v>
      </c>
      <c r="I45" s="82">
        <f t="shared" si="3"/>
        <v>0.000809020971171429</v>
      </c>
      <c r="K45" s="53"/>
    </row>
    <row r="46" ht="15.75" spans="1:11">
      <c r="A46" s="71"/>
      <c r="B46" s="71"/>
      <c r="C46" s="10" t="s">
        <v>140</v>
      </c>
      <c r="D46" s="13" t="s">
        <v>46</v>
      </c>
      <c r="E46" s="42">
        <v>127100</v>
      </c>
      <c r="F46" s="19">
        <v>382713</v>
      </c>
      <c r="G46" s="43">
        <f t="shared" si="2"/>
        <v>3.024261885</v>
      </c>
      <c r="H46" s="20">
        <v>1.90386493317568</v>
      </c>
      <c r="I46" s="43">
        <f t="shared" si="3"/>
        <v>4.92812681817568</v>
      </c>
      <c r="K46" s="53"/>
    </row>
    <row r="47" ht="15.75" spans="1:11">
      <c r="A47" s="71"/>
      <c r="B47" s="71"/>
      <c r="C47" s="10"/>
      <c r="D47" s="13" t="s">
        <v>323</v>
      </c>
      <c r="E47" s="42">
        <v>8732</v>
      </c>
      <c r="F47" s="19">
        <v>9443</v>
      </c>
      <c r="G47" s="43">
        <f t="shared" si="2"/>
        <v>0.2077722642</v>
      </c>
      <c r="H47" s="20">
        <v>0.0920977356950982</v>
      </c>
      <c r="I47" s="43">
        <f t="shared" si="3"/>
        <v>0.299869999895098</v>
      </c>
      <c r="K47" s="53"/>
    </row>
    <row r="48" ht="15.75" spans="1:11">
      <c r="A48" s="71"/>
      <c r="B48" s="71"/>
      <c r="C48" s="10"/>
      <c r="D48" s="13" t="s">
        <v>45</v>
      </c>
      <c r="E48" s="42">
        <v>23992</v>
      </c>
      <c r="F48" s="19">
        <v>53578</v>
      </c>
      <c r="G48" s="43">
        <f t="shared" si="2"/>
        <v>0.5708740452</v>
      </c>
      <c r="H48" s="20">
        <v>0.386464364094702</v>
      </c>
      <c r="I48" s="43">
        <f t="shared" si="3"/>
        <v>0.957338409294702</v>
      </c>
      <c r="K48" s="53"/>
    </row>
    <row r="49" ht="15.75" spans="1:11">
      <c r="A49" s="71"/>
      <c r="B49" s="71"/>
      <c r="C49" s="10"/>
      <c r="D49" s="13" t="s">
        <v>43</v>
      </c>
      <c r="E49" s="42">
        <v>199531</v>
      </c>
      <c r="F49" s="19">
        <v>187830</v>
      </c>
      <c r="G49" s="43">
        <f t="shared" si="2"/>
        <v>4.74771044985</v>
      </c>
      <c r="H49" s="20">
        <v>2.41143873194683</v>
      </c>
      <c r="I49" s="43">
        <f t="shared" si="3"/>
        <v>7.15914918179683</v>
      </c>
      <c r="K49" s="53"/>
    </row>
    <row r="50" ht="15.75" spans="1:9">
      <c r="A50" s="86"/>
      <c r="B50" s="87"/>
      <c r="C50" s="87"/>
      <c r="D50" s="87"/>
      <c r="E50" s="87"/>
      <c r="F50" s="87"/>
      <c r="G50" s="87"/>
      <c r="H50" s="87"/>
      <c r="I50" s="87"/>
    </row>
    <row r="51" ht="15.75" spans="1:9">
      <c r="A51" s="4" t="s">
        <v>81</v>
      </c>
      <c r="B51" s="4"/>
      <c r="C51" s="4"/>
      <c r="D51" s="32"/>
      <c r="F51" s="40"/>
      <c r="G51" s="35" t="s">
        <v>8</v>
      </c>
      <c r="H51" s="35"/>
      <c r="I51" s="35"/>
    </row>
    <row r="52" ht="47.25" spans="1:9">
      <c r="A52" s="35" t="s">
        <v>103</v>
      </c>
      <c r="B52" s="35" t="s">
        <v>10</v>
      </c>
      <c r="C52" s="35" t="s">
        <v>11</v>
      </c>
      <c r="D52" s="35" t="s">
        <v>324</v>
      </c>
      <c r="E52" s="35" t="s">
        <v>13</v>
      </c>
      <c r="F52" s="35" t="s">
        <v>84</v>
      </c>
      <c r="G52" s="35" t="s">
        <v>15</v>
      </c>
      <c r="H52" s="35" t="s">
        <v>16</v>
      </c>
      <c r="I52" s="35" t="s">
        <v>17</v>
      </c>
    </row>
    <row r="53" ht="15.75" spans="1:9">
      <c r="A53" s="9" t="s">
        <v>18</v>
      </c>
      <c r="B53" s="10" t="s">
        <v>19</v>
      </c>
      <c r="C53" s="9" t="s">
        <v>20</v>
      </c>
      <c r="D53" s="10" t="s">
        <v>21</v>
      </c>
      <c r="E53" s="10" t="s">
        <v>22</v>
      </c>
      <c r="F53" s="10" t="s">
        <v>23</v>
      </c>
      <c r="G53" s="10" t="s">
        <v>24</v>
      </c>
      <c r="H53" s="10" t="s">
        <v>25</v>
      </c>
      <c r="I53" s="10" t="s">
        <v>26</v>
      </c>
    </row>
    <row r="54" ht="15.75" spans="1:9">
      <c r="A54" s="70">
        <v>1</v>
      </c>
      <c r="B54" s="70">
        <v>1981</v>
      </c>
      <c r="C54" s="88" t="s">
        <v>27</v>
      </c>
      <c r="D54" s="89" t="s">
        <v>46</v>
      </c>
      <c r="E54" s="90">
        <v>13572</v>
      </c>
      <c r="F54" s="15" t="s">
        <v>29</v>
      </c>
      <c r="G54" s="43">
        <f>E54*(162*365)/POWER(10,9)</f>
        <v>0.80251236</v>
      </c>
      <c r="H54" s="15" t="s">
        <v>29</v>
      </c>
      <c r="I54" s="43">
        <f>G54</f>
        <v>0.80251236</v>
      </c>
    </row>
    <row r="55" ht="15.75" spans="1:9">
      <c r="A55" s="71">
        <v>2</v>
      </c>
      <c r="B55" s="71">
        <v>1991</v>
      </c>
      <c r="C55" s="91" t="s">
        <v>27</v>
      </c>
      <c r="D55" s="92" t="s">
        <v>325</v>
      </c>
      <c r="E55" s="15">
        <v>8639</v>
      </c>
      <c r="F55" s="15" t="s">
        <v>29</v>
      </c>
      <c r="G55" s="43">
        <f>E55*(162*365)/POWER(10,9)</f>
        <v>0.51082407</v>
      </c>
      <c r="H55" s="15" t="s">
        <v>29</v>
      </c>
      <c r="I55" s="43">
        <f t="shared" ref="I55:I57" si="4">G55</f>
        <v>0.51082407</v>
      </c>
    </row>
    <row r="56" ht="36.75" customHeight="1" spans="1:9">
      <c r="A56" s="71"/>
      <c r="B56" s="71"/>
      <c r="C56" s="91"/>
      <c r="D56" s="92" t="s">
        <v>46</v>
      </c>
      <c r="E56" s="15">
        <v>14801</v>
      </c>
      <c r="F56" s="15" t="s">
        <v>29</v>
      </c>
      <c r="G56" s="43">
        <f>E56*(162*365)/POWER(10,9)</f>
        <v>0.87518313</v>
      </c>
      <c r="H56" s="15" t="s">
        <v>29</v>
      </c>
      <c r="I56" s="43">
        <f t="shared" si="4"/>
        <v>0.87518313</v>
      </c>
    </row>
    <row r="57" ht="32.25" customHeight="1" spans="1:9">
      <c r="A57" s="71"/>
      <c r="B57" s="71"/>
      <c r="C57" s="91"/>
      <c r="D57" s="92" t="s">
        <v>43</v>
      </c>
      <c r="E57" s="15">
        <v>8882</v>
      </c>
      <c r="F57" s="15" t="s">
        <v>29</v>
      </c>
      <c r="G57" s="43">
        <f>E57*(162*365)/POWER(10,9)</f>
        <v>0.52519266</v>
      </c>
      <c r="H57" s="15" t="s">
        <v>29</v>
      </c>
      <c r="I57" s="43">
        <f t="shared" si="4"/>
        <v>0.52519266</v>
      </c>
    </row>
    <row r="58" ht="15.75" spans="1:9">
      <c r="A58" s="71">
        <v>3</v>
      </c>
      <c r="B58" s="71">
        <v>2001</v>
      </c>
      <c r="C58" s="93" t="s">
        <v>45</v>
      </c>
      <c r="D58" s="94" t="s">
        <v>46</v>
      </c>
      <c r="E58" s="71">
        <v>16747</v>
      </c>
      <c r="F58" s="19">
        <v>20684</v>
      </c>
      <c r="G58" s="43">
        <f t="shared" ref="G58:G75" si="5">E58*(162*365)/POWER(10,9)</f>
        <v>0.99025011</v>
      </c>
      <c r="H58" s="20">
        <v>0.0687604840482447</v>
      </c>
      <c r="I58" s="43">
        <f>G58+H58</f>
        <v>1.05901059404824</v>
      </c>
    </row>
    <row r="59" ht="15.75" spans="1:9">
      <c r="A59" s="71"/>
      <c r="B59" s="71"/>
      <c r="C59" s="93"/>
      <c r="D59" s="94" t="s">
        <v>43</v>
      </c>
      <c r="E59" s="71">
        <v>7943</v>
      </c>
      <c r="F59" s="19">
        <v>20827</v>
      </c>
      <c r="G59" s="43">
        <f t="shared" si="5"/>
        <v>0.46966959</v>
      </c>
      <c r="H59" s="20">
        <v>0.041552181326444</v>
      </c>
      <c r="I59" s="43">
        <f>G59+H59</f>
        <v>0.511221771326444</v>
      </c>
    </row>
    <row r="60" ht="15.75" spans="1:9">
      <c r="A60" s="71"/>
      <c r="B60" s="71"/>
      <c r="C60" s="93"/>
      <c r="D60" s="94" t="s">
        <v>326</v>
      </c>
      <c r="E60" s="71">
        <v>5639</v>
      </c>
      <c r="F60" s="15" t="s">
        <v>29</v>
      </c>
      <c r="G60" s="43">
        <f t="shared" si="5"/>
        <v>0.33343407</v>
      </c>
      <c r="H60" s="15" t="s">
        <v>29</v>
      </c>
      <c r="I60" s="43">
        <f>G60</f>
        <v>0.33343407</v>
      </c>
    </row>
    <row r="61" ht="15.75" spans="1:9">
      <c r="A61" s="71"/>
      <c r="B61" s="71"/>
      <c r="C61" s="93" t="s">
        <v>27</v>
      </c>
      <c r="D61" s="94" t="s">
        <v>325</v>
      </c>
      <c r="E61" s="71">
        <v>11093</v>
      </c>
      <c r="F61" s="42">
        <v>55</v>
      </c>
      <c r="G61" s="43">
        <f t="shared" si="5"/>
        <v>0.65592909</v>
      </c>
      <c r="H61" s="43">
        <v>0.00141858528469738</v>
      </c>
      <c r="I61" s="43">
        <f t="shared" ref="I61:I75" si="6">G61+H61</f>
        <v>0.657347675284697</v>
      </c>
    </row>
    <row r="62" ht="15.75" spans="1:9">
      <c r="A62" s="71"/>
      <c r="B62" s="71"/>
      <c r="C62" s="93"/>
      <c r="D62" s="94" t="s">
        <v>34</v>
      </c>
      <c r="E62" s="71">
        <v>11405</v>
      </c>
      <c r="F62" s="19">
        <v>1694</v>
      </c>
      <c r="G62" s="43">
        <f t="shared" si="5"/>
        <v>0.67437765</v>
      </c>
      <c r="H62" s="20">
        <v>0.0594565985942741</v>
      </c>
      <c r="I62" s="43">
        <f t="shared" si="6"/>
        <v>0.733834248594274</v>
      </c>
    </row>
    <row r="63" ht="15.75" spans="1:9">
      <c r="A63" s="71"/>
      <c r="B63" s="71"/>
      <c r="C63" s="93"/>
      <c r="D63" s="94" t="s">
        <v>327</v>
      </c>
      <c r="E63" s="71">
        <v>7430</v>
      </c>
      <c r="F63" s="19">
        <v>1203</v>
      </c>
      <c r="G63" s="43">
        <f t="shared" si="5"/>
        <v>0.4393359</v>
      </c>
      <c r="H63" s="20">
        <v>0.0426223856067331</v>
      </c>
      <c r="I63" s="43">
        <f t="shared" si="6"/>
        <v>0.481958285606733</v>
      </c>
    </row>
    <row r="64" ht="15.75" spans="1:9">
      <c r="A64" s="71">
        <v>4</v>
      </c>
      <c r="B64" s="71">
        <v>2011</v>
      </c>
      <c r="C64" s="93" t="s">
        <v>45</v>
      </c>
      <c r="D64" s="94" t="s">
        <v>46</v>
      </c>
      <c r="E64" s="71">
        <v>19529</v>
      </c>
      <c r="F64" s="19">
        <v>14253</v>
      </c>
      <c r="G64" s="43">
        <f t="shared" si="5"/>
        <v>1.15474977</v>
      </c>
      <c r="H64" s="20">
        <v>0.106012279</v>
      </c>
      <c r="I64" s="43">
        <f t="shared" si="6"/>
        <v>1.260762049</v>
      </c>
    </row>
    <row r="65" ht="15.75" spans="1:9">
      <c r="A65" s="71"/>
      <c r="B65" s="71"/>
      <c r="C65" s="93"/>
      <c r="D65" s="94" t="s">
        <v>43</v>
      </c>
      <c r="E65" s="71">
        <v>8428</v>
      </c>
      <c r="F65" s="19">
        <v>2636</v>
      </c>
      <c r="G65" s="43">
        <f t="shared" si="5"/>
        <v>0.49834764</v>
      </c>
      <c r="H65" s="20">
        <v>0.044937559</v>
      </c>
      <c r="I65" s="43">
        <f t="shared" si="6"/>
        <v>0.543285199</v>
      </c>
    </row>
    <row r="66" ht="15.75" spans="1:9">
      <c r="A66" s="71"/>
      <c r="B66" s="71"/>
      <c r="C66" s="93"/>
      <c r="D66" s="94" t="s">
        <v>326</v>
      </c>
      <c r="E66" s="71">
        <v>7394</v>
      </c>
      <c r="F66" s="19">
        <v>2699</v>
      </c>
      <c r="G66" s="43">
        <f t="shared" si="5"/>
        <v>0.43720722</v>
      </c>
      <c r="H66" s="20">
        <v>0.083685156</v>
      </c>
      <c r="I66" s="43">
        <f t="shared" si="6"/>
        <v>0.520892376</v>
      </c>
    </row>
    <row r="67" ht="15.75" spans="1:9">
      <c r="A67" s="71"/>
      <c r="B67" s="71"/>
      <c r="C67" s="93" t="s">
        <v>27</v>
      </c>
      <c r="D67" s="94" t="s">
        <v>325</v>
      </c>
      <c r="E67" s="71">
        <v>10371</v>
      </c>
      <c r="F67" s="19">
        <v>2854</v>
      </c>
      <c r="G67" s="43">
        <f t="shared" si="5"/>
        <v>0.61323723</v>
      </c>
      <c r="H67" s="20">
        <v>0.08040802175</v>
      </c>
      <c r="I67" s="43">
        <f t="shared" si="6"/>
        <v>0.69364525175</v>
      </c>
    </row>
    <row r="68" ht="15.75" spans="1:9">
      <c r="A68" s="71"/>
      <c r="B68" s="71"/>
      <c r="C68" s="93"/>
      <c r="D68" s="94" t="s">
        <v>34</v>
      </c>
      <c r="E68" s="71">
        <v>14071</v>
      </c>
      <c r="F68" s="19">
        <v>9181</v>
      </c>
      <c r="G68" s="43">
        <f t="shared" si="5"/>
        <v>0.83201823</v>
      </c>
      <c r="H68" s="20">
        <v>0.3312430115</v>
      </c>
      <c r="I68" s="43">
        <f t="shared" si="6"/>
        <v>1.1632612415</v>
      </c>
    </row>
    <row r="69" ht="15.75" spans="1:9">
      <c r="A69" s="71"/>
      <c r="B69" s="71"/>
      <c r="C69" s="93"/>
      <c r="D69" s="94" t="s">
        <v>327</v>
      </c>
      <c r="E69" s="71">
        <v>8211</v>
      </c>
      <c r="F69" s="19">
        <v>2564</v>
      </c>
      <c r="G69" s="43">
        <f t="shared" si="5"/>
        <v>0.48551643</v>
      </c>
      <c r="H69" s="20">
        <v>0.09370718</v>
      </c>
      <c r="I69" s="43">
        <f t="shared" si="6"/>
        <v>0.57922361</v>
      </c>
    </row>
    <row r="70" ht="15.75" spans="1:9">
      <c r="A70" s="71">
        <v>5</v>
      </c>
      <c r="B70" s="71">
        <v>2021</v>
      </c>
      <c r="C70" s="96" t="s">
        <v>33</v>
      </c>
      <c r="D70" s="94" t="s">
        <v>325</v>
      </c>
      <c r="E70" s="71">
        <v>11237</v>
      </c>
      <c r="F70" s="19">
        <v>1559</v>
      </c>
      <c r="G70" s="43">
        <f t="shared" si="5"/>
        <v>0.66444381</v>
      </c>
      <c r="H70" s="20">
        <v>0.0558797271428571</v>
      </c>
      <c r="I70" s="43">
        <f t="shared" si="6"/>
        <v>0.720323537142857</v>
      </c>
    </row>
    <row r="71" ht="15.75" spans="1:9">
      <c r="A71" s="71"/>
      <c r="B71" s="71"/>
      <c r="C71" s="96"/>
      <c r="D71" s="94" t="s">
        <v>34</v>
      </c>
      <c r="E71" s="71">
        <v>16737</v>
      </c>
      <c r="F71" s="19">
        <v>2683</v>
      </c>
      <c r="G71" s="43">
        <f t="shared" si="5"/>
        <v>0.98965881</v>
      </c>
      <c r="H71" s="20">
        <v>0.0341788085714286</v>
      </c>
      <c r="I71" s="43">
        <f t="shared" si="6"/>
        <v>1.02383761857143</v>
      </c>
    </row>
    <row r="72" ht="15.75" spans="1:9">
      <c r="A72" s="71"/>
      <c r="B72" s="71"/>
      <c r="C72" s="96"/>
      <c r="D72" s="94" t="s">
        <v>327</v>
      </c>
      <c r="E72" s="71">
        <v>8992</v>
      </c>
      <c r="F72" s="19">
        <v>1378</v>
      </c>
      <c r="G72" s="43">
        <f t="shared" si="5"/>
        <v>0.53169696</v>
      </c>
      <c r="H72" s="20">
        <v>0.0480484305357143</v>
      </c>
      <c r="I72" s="43">
        <f t="shared" si="6"/>
        <v>0.579745390535714</v>
      </c>
    </row>
    <row r="73" ht="19.5" customHeight="1" spans="1:9">
      <c r="A73" s="71"/>
      <c r="B73" s="71"/>
      <c r="C73" s="93" t="s">
        <v>45</v>
      </c>
      <c r="D73" s="94" t="s">
        <v>46</v>
      </c>
      <c r="E73" s="71">
        <v>22291</v>
      </c>
      <c r="F73" s="19">
        <v>1330</v>
      </c>
      <c r="G73" s="43">
        <f t="shared" si="5"/>
        <v>1.31806683</v>
      </c>
      <c r="H73" s="20">
        <v>0.0480419257142857</v>
      </c>
      <c r="I73" s="43">
        <f t="shared" si="6"/>
        <v>1.36610875571429</v>
      </c>
    </row>
    <row r="74" ht="15.75" spans="1:9">
      <c r="A74" s="71"/>
      <c r="B74" s="71"/>
      <c r="C74" s="93"/>
      <c r="D74" s="94" t="s">
        <v>43</v>
      </c>
      <c r="E74" s="71">
        <v>10203</v>
      </c>
      <c r="F74" s="19">
        <v>945</v>
      </c>
      <c r="G74" s="43">
        <f t="shared" si="5"/>
        <v>0.60330339</v>
      </c>
      <c r="H74" s="20">
        <v>0.0293749653571429</v>
      </c>
      <c r="I74" s="43">
        <f t="shared" si="6"/>
        <v>0.632678355357143</v>
      </c>
    </row>
    <row r="75" ht="15.75" spans="1:9">
      <c r="A75" s="71"/>
      <c r="B75" s="71"/>
      <c r="C75" s="93"/>
      <c r="D75" s="97" t="s">
        <v>326</v>
      </c>
      <c r="E75" s="71">
        <v>9149</v>
      </c>
      <c r="F75" s="19">
        <v>2552</v>
      </c>
      <c r="G75" s="43">
        <f t="shared" si="5"/>
        <v>0.54098037</v>
      </c>
      <c r="H75" s="20">
        <v>0.0792087021428571</v>
      </c>
      <c r="I75" s="43">
        <f t="shared" si="6"/>
        <v>0.620189072142857</v>
      </c>
    </row>
    <row r="76" ht="15.75" spans="1:9">
      <c r="A76" s="86"/>
      <c r="B76" s="87"/>
      <c r="C76" s="87"/>
      <c r="D76" s="87"/>
      <c r="E76" s="87"/>
      <c r="F76" s="87"/>
      <c r="G76" s="87"/>
      <c r="H76" s="87"/>
      <c r="I76" s="87"/>
    </row>
    <row r="77" ht="18.75" spans="1:9">
      <c r="A77" s="39" t="s">
        <v>102</v>
      </c>
      <c r="B77" s="31"/>
      <c r="C77" s="31"/>
      <c r="D77" s="31"/>
      <c r="E77" s="31"/>
      <c r="F77" s="31"/>
      <c r="G77" s="31"/>
      <c r="H77" s="31"/>
      <c r="I77" s="31"/>
    </row>
    <row r="78" ht="15.75" spans="1:9">
      <c r="A78" s="40" t="s">
        <v>7</v>
      </c>
      <c r="B78" s="40"/>
      <c r="C78" s="40"/>
      <c r="D78" s="40"/>
      <c r="E78" s="40"/>
      <c r="G78" s="41" t="s">
        <v>8</v>
      </c>
      <c r="H78" s="41"/>
      <c r="I78" s="41"/>
    </row>
    <row r="79" ht="47.25" spans="1:9">
      <c r="A79" s="9" t="s">
        <v>9</v>
      </c>
      <c r="B79" s="10" t="s">
        <v>104</v>
      </c>
      <c r="C79" s="9" t="s">
        <v>11</v>
      </c>
      <c r="D79" s="9" t="s">
        <v>12</v>
      </c>
      <c r="E79" s="10" t="s">
        <v>13</v>
      </c>
      <c r="F79" s="10" t="s">
        <v>84</v>
      </c>
      <c r="G79" s="10" t="s">
        <v>15</v>
      </c>
      <c r="H79" s="10" t="s">
        <v>16</v>
      </c>
      <c r="I79" s="10" t="s">
        <v>17</v>
      </c>
    </row>
    <row r="80" ht="15.75" spans="1:9">
      <c r="A80" s="9" t="s">
        <v>18</v>
      </c>
      <c r="B80" s="10" t="s">
        <v>19</v>
      </c>
      <c r="C80" s="9" t="s">
        <v>20</v>
      </c>
      <c r="D80" s="10" t="s">
        <v>21</v>
      </c>
      <c r="E80" s="10" t="s">
        <v>22</v>
      </c>
      <c r="F80" s="10" t="s">
        <v>23</v>
      </c>
      <c r="G80" s="10" t="s">
        <v>24</v>
      </c>
      <c r="H80" s="10" t="s">
        <v>25</v>
      </c>
      <c r="I80" s="10" t="s">
        <v>26</v>
      </c>
    </row>
    <row r="81" ht="15.75" spans="1:9">
      <c r="A81" s="83">
        <v>1</v>
      </c>
      <c r="B81" s="70">
        <v>2025</v>
      </c>
      <c r="C81" s="98" t="s">
        <v>33</v>
      </c>
      <c r="D81" s="13" t="s">
        <v>35</v>
      </c>
      <c r="E81" s="42">
        <v>7385</v>
      </c>
      <c r="F81" s="19">
        <v>3741</v>
      </c>
      <c r="G81" s="43">
        <f t="shared" ref="G81:G96" si="7">E81*(65.19*365)/POWER(10,9)</f>
        <v>0.17572127475</v>
      </c>
      <c r="H81" s="20">
        <v>0.0999485622426571</v>
      </c>
      <c r="I81" s="43">
        <f t="shared" ref="I81:I96" si="8">G81+H81</f>
        <v>0.275669836992657</v>
      </c>
    </row>
    <row r="82" ht="15.75" spans="1:9">
      <c r="A82" s="83"/>
      <c r="B82" s="83"/>
      <c r="C82" s="99"/>
      <c r="D82" s="13" t="s">
        <v>34</v>
      </c>
      <c r="E82" s="42">
        <v>274664</v>
      </c>
      <c r="F82" s="19">
        <v>141625</v>
      </c>
      <c r="G82" s="43">
        <f t="shared" si="7"/>
        <v>6.5354513484</v>
      </c>
      <c r="H82" s="20">
        <v>1.74917832696675</v>
      </c>
      <c r="I82" s="43">
        <f t="shared" si="8"/>
        <v>8.28462967536675</v>
      </c>
    </row>
    <row r="83" ht="15.75" spans="1:9">
      <c r="A83" s="83"/>
      <c r="B83" s="83"/>
      <c r="C83" s="98" t="s">
        <v>42</v>
      </c>
      <c r="D83" s="13" t="s">
        <v>41</v>
      </c>
      <c r="E83" s="42">
        <v>1739</v>
      </c>
      <c r="F83" s="19">
        <v>3269</v>
      </c>
      <c r="G83" s="43">
        <f t="shared" si="7"/>
        <v>0.04137837465</v>
      </c>
      <c r="H83" s="20">
        <v>0.0303330588459107</v>
      </c>
      <c r="I83" s="43">
        <f t="shared" si="8"/>
        <v>0.0717114334959107</v>
      </c>
    </row>
    <row r="84" ht="15.75" spans="1:9">
      <c r="A84" s="83"/>
      <c r="B84" s="83"/>
      <c r="C84" s="100" t="s">
        <v>95</v>
      </c>
      <c r="D84" s="13" t="s">
        <v>50</v>
      </c>
      <c r="E84" s="14">
        <v>22</v>
      </c>
      <c r="F84" s="19">
        <v>11</v>
      </c>
      <c r="G84" s="16">
        <f t="shared" si="7"/>
        <v>0.0005234757</v>
      </c>
      <c r="H84" s="20">
        <v>0.000345928752085714</v>
      </c>
      <c r="I84" s="43">
        <f t="shared" si="8"/>
        <v>0.000869404452085714</v>
      </c>
    </row>
    <row r="85" ht="15.75" spans="1:9">
      <c r="A85" s="83"/>
      <c r="B85" s="83"/>
      <c r="C85" s="98" t="s">
        <v>45</v>
      </c>
      <c r="D85" s="13" t="s">
        <v>46</v>
      </c>
      <c r="E85" s="42">
        <v>134042</v>
      </c>
      <c r="F85" s="19">
        <v>475041</v>
      </c>
      <c r="G85" s="43">
        <f t="shared" si="7"/>
        <v>3.1894422627</v>
      </c>
      <c r="H85" s="20">
        <v>1.73111734911694</v>
      </c>
      <c r="I85" s="43">
        <f t="shared" si="8"/>
        <v>4.92055961181694</v>
      </c>
    </row>
    <row r="86" ht="15.75" spans="1:9">
      <c r="A86" s="83"/>
      <c r="B86" s="83"/>
      <c r="C86" s="101"/>
      <c r="D86" s="13" t="s">
        <v>323</v>
      </c>
      <c r="E86" s="42">
        <v>9209</v>
      </c>
      <c r="F86" s="19">
        <v>9065</v>
      </c>
      <c r="G86" s="43">
        <f t="shared" si="7"/>
        <v>0.21912216915</v>
      </c>
      <c r="H86" s="20">
        <v>0.0735240443213768</v>
      </c>
      <c r="I86" s="43">
        <f t="shared" si="8"/>
        <v>0.292646213471377</v>
      </c>
    </row>
    <row r="87" ht="15.75" spans="1:9">
      <c r="A87" s="83"/>
      <c r="B87" s="83"/>
      <c r="C87" s="101"/>
      <c r="D87" s="13" t="s">
        <v>45</v>
      </c>
      <c r="E87" s="42">
        <v>25303</v>
      </c>
      <c r="F87" s="19">
        <v>70776</v>
      </c>
      <c r="G87" s="43">
        <f t="shared" si="7"/>
        <v>0.60206843805</v>
      </c>
      <c r="H87" s="20">
        <v>0.35771713665523</v>
      </c>
      <c r="I87" s="43">
        <f t="shared" si="8"/>
        <v>0.95978557470523</v>
      </c>
    </row>
    <row r="88" ht="15.75" spans="1:9">
      <c r="A88" s="84"/>
      <c r="B88" s="84"/>
      <c r="C88" s="99"/>
      <c r="D88" s="13" t="s">
        <v>43</v>
      </c>
      <c r="E88" s="42">
        <v>210429</v>
      </c>
      <c r="F88" s="19">
        <v>167903</v>
      </c>
      <c r="G88" s="43">
        <f t="shared" si="7"/>
        <v>5.00702127615</v>
      </c>
      <c r="H88" s="20">
        <v>2.10708099385811</v>
      </c>
      <c r="I88" s="43">
        <f t="shared" si="8"/>
        <v>7.11410227000811</v>
      </c>
    </row>
    <row r="89" ht="15.75" spans="1:9">
      <c r="A89" s="83">
        <v>2</v>
      </c>
      <c r="B89" s="70">
        <v>2050</v>
      </c>
      <c r="C89" s="98" t="s">
        <v>33</v>
      </c>
      <c r="D89" s="13" t="s">
        <v>35</v>
      </c>
      <c r="E89" s="42">
        <v>13060</v>
      </c>
      <c r="F89" s="19">
        <v>3088</v>
      </c>
      <c r="G89" s="43">
        <f t="shared" si="7"/>
        <v>0.310754211</v>
      </c>
      <c r="H89" s="20">
        <v>0.0734043676037286</v>
      </c>
      <c r="I89" s="43">
        <f t="shared" si="8"/>
        <v>0.384158578603729</v>
      </c>
    </row>
    <row r="90" ht="15.75" spans="1:9">
      <c r="A90" s="83"/>
      <c r="B90" s="83"/>
      <c r="C90" s="99"/>
      <c r="D90" s="13" t="s">
        <v>34</v>
      </c>
      <c r="E90" s="42">
        <v>485713</v>
      </c>
      <c r="F90" s="19">
        <v>240633</v>
      </c>
      <c r="G90" s="43">
        <f t="shared" si="7"/>
        <v>11.55722512155</v>
      </c>
      <c r="H90" s="20">
        <v>1.34792951296331</v>
      </c>
      <c r="I90" s="43">
        <f t="shared" si="8"/>
        <v>12.9051546345133</v>
      </c>
    </row>
    <row r="91" ht="15.75" spans="1:9">
      <c r="A91" s="83"/>
      <c r="B91" s="83"/>
      <c r="C91" s="98" t="s">
        <v>42</v>
      </c>
      <c r="D91" s="13" t="s">
        <v>41</v>
      </c>
      <c r="E91" s="42">
        <v>1935</v>
      </c>
      <c r="F91" s="19">
        <v>7185</v>
      </c>
      <c r="G91" s="43">
        <f t="shared" si="7"/>
        <v>0.04604206725</v>
      </c>
      <c r="H91" s="20">
        <v>0.0247729677646607</v>
      </c>
      <c r="I91" s="43">
        <f t="shared" si="8"/>
        <v>0.0708150350146607</v>
      </c>
    </row>
    <row r="92" ht="15.75" spans="1:9">
      <c r="A92" s="83"/>
      <c r="B92" s="83"/>
      <c r="C92" s="100" t="s">
        <v>95</v>
      </c>
      <c r="D92" s="13" t="s">
        <v>50</v>
      </c>
      <c r="E92" s="42">
        <v>29</v>
      </c>
      <c r="F92" s="19">
        <v>19</v>
      </c>
      <c r="G92" s="43">
        <f t="shared" si="7"/>
        <v>0.00069003615</v>
      </c>
      <c r="H92" s="20">
        <v>0.000615036009442857</v>
      </c>
      <c r="I92" s="43">
        <f t="shared" si="8"/>
        <v>0.00130507215944286</v>
      </c>
    </row>
    <row r="93" ht="15.75" spans="1:9">
      <c r="A93" s="83"/>
      <c r="B93" s="83"/>
      <c r="C93" s="98" t="s">
        <v>45</v>
      </c>
      <c r="D93" s="13" t="s">
        <v>46</v>
      </c>
      <c r="E93" s="42">
        <v>188419</v>
      </c>
      <c r="F93" s="19">
        <v>1076254</v>
      </c>
      <c r="G93" s="43">
        <f t="shared" si="7"/>
        <v>4.48330763265</v>
      </c>
      <c r="H93" s="20">
        <v>0.975607990825521</v>
      </c>
      <c r="I93" s="43">
        <f t="shared" si="8"/>
        <v>5.45891562347552</v>
      </c>
    </row>
    <row r="94" ht="15.75" spans="1:9">
      <c r="A94" s="83"/>
      <c r="B94" s="83"/>
      <c r="C94" s="101"/>
      <c r="D94" s="13" t="s">
        <v>323</v>
      </c>
      <c r="E94" s="42">
        <v>12945</v>
      </c>
      <c r="F94" s="19">
        <v>7986</v>
      </c>
      <c r="G94" s="43">
        <f t="shared" si="7"/>
        <v>0.30801786075</v>
      </c>
      <c r="H94" s="20">
        <v>0.00833439825638571</v>
      </c>
      <c r="I94" s="43">
        <f t="shared" si="8"/>
        <v>0.316352259006386</v>
      </c>
    </row>
    <row r="95" ht="15.75" spans="1:9">
      <c r="A95" s="83"/>
      <c r="B95" s="83"/>
      <c r="C95" s="101"/>
      <c r="D95" s="13" t="s">
        <v>45</v>
      </c>
      <c r="E95" s="42">
        <v>35567</v>
      </c>
      <c r="F95" s="19">
        <v>179774</v>
      </c>
      <c r="G95" s="43">
        <f t="shared" si="7"/>
        <v>0.84629364645</v>
      </c>
      <c r="H95" s="20">
        <v>0.238847863451677</v>
      </c>
      <c r="I95" s="43">
        <f t="shared" si="8"/>
        <v>1.08514150990168</v>
      </c>
    </row>
    <row r="96" ht="15.75" spans="1:9">
      <c r="A96" s="84"/>
      <c r="B96" s="84"/>
      <c r="C96" s="99"/>
      <c r="D96" s="13" t="s">
        <v>43</v>
      </c>
      <c r="E96" s="42">
        <v>295794</v>
      </c>
      <c r="F96" s="19">
        <v>54335</v>
      </c>
      <c r="G96" s="43">
        <f t="shared" si="7"/>
        <v>7.0382259639</v>
      </c>
      <c r="H96" s="20">
        <v>0.505260120410415</v>
      </c>
      <c r="I96" s="43">
        <f t="shared" si="8"/>
        <v>7.54348608431041</v>
      </c>
    </row>
    <row r="97" ht="15.75" spans="1:9">
      <c r="A97" s="86"/>
      <c r="B97" s="87"/>
      <c r="C97" s="87"/>
      <c r="D97" s="87"/>
      <c r="E97" s="87"/>
      <c r="F97" s="87"/>
      <c r="G97" s="87"/>
      <c r="H97" s="87"/>
      <c r="I97" s="87"/>
    </row>
    <row r="98" ht="15.75" spans="1:9">
      <c r="A98" s="4" t="s">
        <v>105</v>
      </c>
      <c r="B98" s="4"/>
      <c r="C98" s="4"/>
      <c r="D98" s="4"/>
      <c r="E98" s="4"/>
      <c r="F98" s="4"/>
      <c r="G98" s="4" t="s">
        <v>8</v>
      </c>
      <c r="H98" s="4"/>
      <c r="I98" s="4"/>
    </row>
    <row r="99" ht="47.25" spans="1:9">
      <c r="A99" s="63" t="s">
        <v>103</v>
      </c>
      <c r="B99" s="63" t="s">
        <v>104</v>
      </c>
      <c r="C99" s="63" t="s">
        <v>11</v>
      </c>
      <c r="D99" s="63" t="s">
        <v>106</v>
      </c>
      <c r="E99" s="63" t="s">
        <v>13</v>
      </c>
      <c r="F99" s="63" t="s">
        <v>84</v>
      </c>
      <c r="G99" s="63" t="s">
        <v>15</v>
      </c>
      <c r="H99" s="63" t="s">
        <v>16</v>
      </c>
      <c r="I99" s="63" t="s">
        <v>17</v>
      </c>
    </row>
    <row r="100" ht="15.75" spans="1:9">
      <c r="A100" s="9" t="s">
        <v>18</v>
      </c>
      <c r="B100" s="10" t="s">
        <v>19</v>
      </c>
      <c r="C100" s="9" t="s">
        <v>20</v>
      </c>
      <c r="D100" s="10" t="s">
        <v>21</v>
      </c>
      <c r="E100" s="10" t="s">
        <v>22</v>
      </c>
      <c r="F100" s="10" t="s">
        <v>23</v>
      </c>
      <c r="G100" s="10" t="s">
        <v>24</v>
      </c>
      <c r="H100" s="10" t="s">
        <v>25</v>
      </c>
      <c r="I100" s="10" t="s">
        <v>26</v>
      </c>
    </row>
    <row r="101" ht="15.75" spans="1:9">
      <c r="A101" s="102">
        <v>1</v>
      </c>
      <c r="B101" s="103">
        <v>2025</v>
      </c>
      <c r="C101" s="88" t="s">
        <v>33</v>
      </c>
      <c r="D101" s="92" t="s">
        <v>325</v>
      </c>
      <c r="E101" s="15">
        <v>11583</v>
      </c>
      <c r="F101" s="19">
        <v>1254</v>
      </c>
      <c r="G101" s="43">
        <f t="shared" ref="G101:G112" si="9">E101*(162*365)/POWER(10,9)</f>
        <v>0.68490279</v>
      </c>
      <c r="H101" s="20">
        <v>0.0460497557142857</v>
      </c>
      <c r="I101" s="20">
        <f t="shared" ref="I101:I112" si="10">G101+H101</f>
        <v>0.730952545714286</v>
      </c>
    </row>
    <row r="102" ht="15.75" spans="1:9">
      <c r="A102" s="102"/>
      <c r="B102" s="104"/>
      <c r="C102" s="105"/>
      <c r="D102" s="92" t="s">
        <v>34</v>
      </c>
      <c r="E102" s="19">
        <v>17803</v>
      </c>
      <c r="F102" s="19">
        <v>2529</v>
      </c>
      <c r="G102" s="43">
        <f t="shared" si="9"/>
        <v>1.05269139</v>
      </c>
      <c r="H102" s="20">
        <v>0.014719355</v>
      </c>
      <c r="I102" s="20">
        <f t="shared" si="10"/>
        <v>1.067410745</v>
      </c>
    </row>
    <row r="103" ht="15.75" spans="1:9">
      <c r="A103" s="102"/>
      <c r="B103" s="104"/>
      <c r="C103" s="106"/>
      <c r="D103" s="92" t="s">
        <v>327</v>
      </c>
      <c r="E103" s="19">
        <v>9304</v>
      </c>
      <c r="F103" s="19">
        <v>681</v>
      </c>
      <c r="G103" s="43">
        <f t="shared" si="9"/>
        <v>0.55014552</v>
      </c>
      <c r="H103" s="20">
        <v>0.0218668241071429</v>
      </c>
      <c r="I103" s="20">
        <f t="shared" si="10"/>
        <v>0.572012344107143</v>
      </c>
    </row>
    <row r="104" ht="15.75" spans="1:9">
      <c r="A104" s="102"/>
      <c r="B104" s="104"/>
      <c r="C104" s="88" t="s">
        <v>45</v>
      </c>
      <c r="D104" s="92" t="s">
        <v>46</v>
      </c>
      <c r="E104" s="15">
        <v>23613</v>
      </c>
      <c r="F104" s="19">
        <v>646</v>
      </c>
      <c r="G104" s="43">
        <f t="shared" si="9"/>
        <v>1.39623669</v>
      </c>
      <c r="H104" s="20">
        <v>0.0259369</v>
      </c>
      <c r="I104" s="20">
        <f t="shared" si="10"/>
        <v>1.42217359</v>
      </c>
    </row>
    <row r="105" ht="15.75" spans="1:9">
      <c r="A105" s="102"/>
      <c r="B105" s="104"/>
      <c r="C105" s="105"/>
      <c r="D105" s="92" t="s">
        <v>43</v>
      </c>
      <c r="E105" s="15">
        <v>10503</v>
      </c>
      <c r="F105" s="19">
        <v>779</v>
      </c>
      <c r="G105" s="43">
        <f t="shared" si="9"/>
        <v>0.62104239</v>
      </c>
      <c r="H105" s="20">
        <v>0.0254155757142857</v>
      </c>
      <c r="I105" s="20">
        <f t="shared" si="10"/>
        <v>0.646457965714286</v>
      </c>
    </row>
    <row r="106" ht="15.75" spans="1:9">
      <c r="A106" s="102"/>
      <c r="B106" s="107"/>
      <c r="C106" s="106"/>
      <c r="D106" s="108" t="s">
        <v>326</v>
      </c>
      <c r="E106" s="15">
        <v>9851</v>
      </c>
      <c r="F106" s="19">
        <v>2187</v>
      </c>
      <c r="G106" s="43">
        <f t="shared" si="9"/>
        <v>0.58248963</v>
      </c>
      <c r="H106" s="20">
        <v>0.0679208164285714</v>
      </c>
      <c r="I106" s="20">
        <f t="shared" si="10"/>
        <v>0.650410446428571</v>
      </c>
    </row>
    <row r="107" ht="15.75" spans="1:9">
      <c r="A107" s="109">
        <v>2</v>
      </c>
      <c r="B107" s="103">
        <v>2050</v>
      </c>
      <c r="C107" s="88" t="s">
        <v>33</v>
      </c>
      <c r="D107" s="92" t="s">
        <v>325</v>
      </c>
      <c r="E107" s="15">
        <v>13748</v>
      </c>
      <c r="F107" s="19">
        <v>1254</v>
      </c>
      <c r="G107" s="43">
        <f t="shared" si="9"/>
        <v>0.81291924</v>
      </c>
      <c r="H107" s="20">
        <v>0.0460497557142857</v>
      </c>
      <c r="I107" s="20">
        <f t="shared" si="10"/>
        <v>0.858968995714286</v>
      </c>
    </row>
    <row r="108" ht="15.75" spans="1:9">
      <c r="A108" s="110"/>
      <c r="B108" s="104"/>
      <c r="C108" s="105"/>
      <c r="D108" s="92" t="s">
        <v>34</v>
      </c>
      <c r="E108" s="19">
        <v>24468</v>
      </c>
      <c r="F108" s="19">
        <v>5431</v>
      </c>
      <c r="G108" s="43">
        <f t="shared" si="9"/>
        <v>1.44679284</v>
      </c>
      <c r="H108" s="20">
        <v>0.0204494508928571</v>
      </c>
      <c r="I108" s="20">
        <f t="shared" si="10"/>
        <v>1.46724229089286</v>
      </c>
    </row>
    <row r="109" ht="15.75" spans="1:9">
      <c r="A109" s="110"/>
      <c r="B109" s="104"/>
      <c r="C109" s="106"/>
      <c r="D109" s="92" t="s">
        <v>327</v>
      </c>
      <c r="E109" s="19">
        <v>11257</v>
      </c>
      <c r="F109" s="19">
        <v>244</v>
      </c>
      <c r="G109" s="43">
        <f t="shared" si="9"/>
        <v>0.66562641</v>
      </c>
      <c r="H109" s="20">
        <v>0.00160495714285714</v>
      </c>
      <c r="I109" s="20">
        <f t="shared" si="10"/>
        <v>0.667231367142857</v>
      </c>
    </row>
    <row r="110" ht="15.75" spans="1:9">
      <c r="A110" s="110"/>
      <c r="B110" s="104"/>
      <c r="C110" s="88" t="s">
        <v>45</v>
      </c>
      <c r="D110" s="92" t="s">
        <v>46</v>
      </c>
      <c r="E110" s="15">
        <v>34693</v>
      </c>
      <c r="F110" s="19">
        <v>646</v>
      </c>
      <c r="G110" s="43">
        <f t="shared" si="9"/>
        <v>2.05139709</v>
      </c>
      <c r="H110" s="20">
        <v>0.0259369</v>
      </c>
      <c r="I110" s="20">
        <f t="shared" si="10"/>
        <v>2.07733399</v>
      </c>
    </row>
    <row r="111" ht="15.75" spans="1:9">
      <c r="A111" s="110"/>
      <c r="B111" s="104"/>
      <c r="C111" s="105"/>
      <c r="D111" s="92" t="s">
        <v>43</v>
      </c>
      <c r="E111" s="15">
        <v>21149</v>
      </c>
      <c r="F111" s="19">
        <v>664</v>
      </c>
      <c r="G111" s="43">
        <f t="shared" si="9"/>
        <v>1.25054037</v>
      </c>
      <c r="H111" s="20">
        <v>0.0122017414285714</v>
      </c>
      <c r="I111" s="20">
        <f t="shared" si="10"/>
        <v>1.26274211142857</v>
      </c>
    </row>
    <row r="112" ht="15.75" spans="1:9">
      <c r="A112" s="111"/>
      <c r="B112" s="107"/>
      <c r="C112" s="106"/>
      <c r="D112" s="108" t="s">
        <v>326</v>
      </c>
      <c r="E112" s="15">
        <v>14239</v>
      </c>
      <c r="F112" s="19">
        <v>713</v>
      </c>
      <c r="G112" s="43">
        <f t="shared" si="9"/>
        <v>0.84195207</v>
      </c>
      <c r="H112" s="20">
        <v>0.00960518357142857</v>
      </c>
      <c r="I112" s="20">
        <f t="shared" si="10"/>
        <v>0.851557253571429</v>
      </c>
    </row>
    <row r="113" ht="15.75" spans="1:9">
      <c r="A113" s="86"/>
      <c r="B113" s="87"/>
      <c r="C113" s="87"/>
      <c r="D113" s="87"/>
      <c r="E113" s="87"/>
      <c r="F113" s="87"/>
      <c r="G113" s="87"/>
      <c r="H113" s="87"/>
      <c r="I113" s="87"/>
    </row>
    <row r="114" ht="15.6" customHeight="1" spans="1:9">
      <c r="A114" s="45" t="s">
        <v>108</v>
      </c>
      <c r="B114" s="7" t="s">
        <v>109</v>
      </c>
      <c r="C114" s="46"/>
      <c r="D114" s="46"/>
      <c r="E114" s="46"/>
      <c r="F114" s="46"/>
      <c r="G114" s="46"/>
      <c r="H114" s="46"/>
      <c r="I114" s="46"/>
    </row>
    <row r="115" ht="19.5" customHeight="1" spans="1:9">
      <c r="A115" s="46"/>
      <c r="B115" s="7" t="s">
        <v>110</v>
      </c>
      <c r="C115" s="47"/>
      <c r="D115" s="47"/>
      <c r="E115" s="47"/>
      <c r="F115" s="47"/>
      <c r="G115" s="47"/>
      <c r="H115" s="47"/>
      <c r="I115" s="47"/>
    </row>
    <row r="116" ht="19.5" customHeight="1" spans="2:2">
      <c r="B116" s="48" t="s">
        <v>111</v>
      </c>
    </row>
    <row r="117" s="2" customFormat="1" ht="15" customHeight="1" spans="2:2">
      <c r="B117" s="49" t="s">
        <v>112</v>
      </c>
    </row>
    <row r="118" s="2" customFormat="1" ht="15" customHeight="1" spans="2:2">
      <c r="B118" s="50" t="s">
        <v>113</v>
      </c>
    </row>
    <row r="119" s="2" customFormat="1" ht="15" customHeight="1" spans="2:2">
      <c r="B119" s="50" t="s">
        <v>114</v>
      </c>
    </row>
    <row r="120" s="2" customFormat="1" spans="2:2">
      <c r="B120" s="49" t="s">
        <v>115</v>
      </c>
    </row>
    <row r="121" s="2" customFormat="1" ht="16.5" customHeight="1" spans="2:2">
      <c r="B121" s="50" t="s">
        <v>116</v>
      </c>
    </row>
    <row r="122" s="2" customFormat="1" ht="16.5" customHeight="1" spans="2:2">
      <c r="B122" s="50" t="s">
        <v>117</v>
      </c>
    </row>
    <row r="123" ht="17.25" customHeight="1" spans="2:2">
      <c r="B123" s="49" t="s">
        <v>118</v>
      </c>
    </row>
    <row r="124" ht="17.25" customHeight="1" spans="2:2">
      <c r="B124" s="56" t="s">
        <v>119</v>
      </c>
    </row>
    <row r="125" ht="17.25" customHeight="1" spans="2:2">
      <c r="B125" s="56" t="s">
        <v>120</v>
      </c>
    </row>
    <row r="126" spans="2:2">
      <c r="B126" s="56" t="s">
        <v>121</v>
      </c>
    </row>
    <row r="127" spans="2:2">
      <c r="B127" s="56" t="s">
        <v>122</v>
      </c>
    </row>
    <row r="128" spans="2:2">
      <c r="B128" s="49" t="s">
        <v>123</v>
      </c>
    </row>
    <row r="129" ht="15" customHeight="1" spans="2:2">
      <c r="B129" s="49" t="s">
        <v>124</v>
      </c>
    </row>
    <row r="130" ht="15" customHeight="1" spans="2:2">
      <c r="B130" s="56" t="s">
        <v>125</v>
      </c>
    </row>
    <row r="131" ht="15" customHeight="1" spans="2:2">
      <c r="B131" s="56" t="s">
        <v>126</v>
      </c>
    </row>
    <row r="132" spans="2:2">
      <c r="B132" s="56" t="s">
        <v>127</v>
      </c>
    </row>
    <row r="133" spans="2:2">
      <c r="B133" s="56" t="s">
        <v>128</v>
      </c>
    </row>
    <row r="134" ht="16.5" customHeight="1" spans="2:2">
      <c r="B134" s="56" t="s">
        <v>129</v>
      </c>
    </row>
    <row r="135" ht="16.5" customHeight="1" spans="2:2">
      <c r="B135" s="56"/>
    </row>
    <row r="136" ht="16.5" customHeight="1" spans="2:2">
      <c r="B136" s="49" t="s">
        <v>130</v>
      </c>
    </row>
    <row r="137" ht="16.5" customHeight="1" spans="2:2">
      <c r="B137" s="57"/>
    </row>
    <row r="138" ht="16.5" customHeight="1" spans="2:2">
      <c r="B138" s="58" t="s">
        <v>131</v>
      </c>
    </row>
    <row r="139" spans="2:2">
      <c r="B139" s="58" t="s">
        <v>132</v>
      </c>
    </row>
    <row r="140" spans="2:2">
      <c r="B140" s="59" t="s">
        <v>133</v>
      </c>
    </row>
    <row r="141" ht="13.2" customHeight="1"/>
    <row r="142" ht="22.8" customHeight="1" spans="2:9">
      <c r="B142" s="112" t="s">
        <v>134</v>
      </c>
      <c r="C142" s="112"/>
      <c r="D142" s="112"/>
      <c r="E142" s="112"/>
      <c r="F142" s="112"/>
      <c r="G142" s="112"/>
      <c r="H142" s="112"/>
      <c r="I142" s="112"/>
    </row>
    <row r="150" ht="13.95" customHeight="1"/>
    <row r="151" ht="13.95" customHeight="1"/>
    <row r="152" ht="13.95" customHeight="1"/>
    <row r="153" ht="13.95" customHeight="1"/>
  </sheetData>
  <mergeCells count="63">
    <mergeCell ref="A2:I2"/>
    <mergeCell ref="A3:I3"/>
    <mergeCell ref="A4:I4"/>
    <mergeCell ref="A5:I5"/>
    <mergeCell ref="A6:I6"/>
    <mergeCell ref="A7:E7"/>
    <mergeCell ref="F7:I7"/>
    <mergeCell ref="G51:I51"/>
    <mergeCell ref="A77:I77"/>
    <mergeCell ref="G78:I78"/>
    <mergeCell ref="A98:D98"/>
    <mergeCell ref="B114:I114"/>
    <mergeCell ref="B115:I115"/>
    <mergeCell ref="B142:I142"/>
    <mergeCell ref="A10:A17"/>
    <mergeCell ref="A18:A25"/>
    <mergeCell ref="A26:A33"/>
    <mergeCell ref="A34:A41"/>
    <mergeCell ref="A42:A49"/>
    <mergeCell ref="A55:A57"/>
    <mergeCell ref="A58:A63"/>
    <mergeCell ref="A64:A69"/>
    <mergeCell ref="A70:A75"/>
    <mergeCell ref="A81:A88"/>
    <mergeCell ref="A89:A96"/>
    <mergeCell ref="A101:A106"/>
    <mergeCell ref="A107:A112"/>
    <mergeCell ref="B10:B17"/>
    <mergeCell ref="B18:B25"/>
    <mergeCell ref="B26:B33"/>
    <mergeCell ref="B34:B41"/>
    <mergeCell ref="B42:B49"/>
    <mergeCell ref="B55:B57"/>
    <mergeCell ref="B58:B63"/>
    <mergeCell ref="B64:B69"/>
    <mergeCell ref="B70:B75"/>
    <mergeCell ref="B81:B88"/>
    <mergeCell ref="B89:B96"/>
    <mergeCell ref="B101:B106"/>
    <mergeCell ref="B107:B112"/>
    <mergeCell ref="C11:C17"/>
    <mergeCell ref="C19:C25"/>
    <mergeCell ref="C27:C30"/>
    <mergeCell ref="C31:C33"/>
    <mergeCell ref="C35:C38"/>
    <mergeCell ref="C39:C41"/>
    <mergeCell ref="C42:C43"/>
    <mergeCell ref="C46:C49"/>
    <mergeCell ref="C55:C57"/>
    <mergeCell ref="C58:C60"/>
    <mergeCell ref="C61:C63"/>
    <mergeCell ref="C64:C66"/>
    <mergeCell ref="C67:C69"/>
    <mergeCell ref="C70:C72"/>
    <mergeCell ref="C73:C75"/>
    <mergeCell ref="C81:C82"/>
    <mergeCell ref="C85:C88"/>
    <mergeCell ref="C89:C90"/>
    <mergeCell ref="C93:C96"/>
    <mergeCell ref="C101:C103"/>
    <mergeCell ref="C104:C106"/>
    <mergeCell ref="C107:C109"/>
    <mergeCell ref="C110:C112"/>
  </mergeCells>
  <pageMargins left="0.7" right="0.7" top="0.75" bottom="0.75" header="0.3" footer="0.3"/>
  <pageSetup paperSize="9" scale="94" fitToHeight="0" orientation="landscape"/>
  <headerFooter>
    <oddFooter>&amp;C&amp;"Times New Roman,Regular"&amp;10Page &amp;P</oddFooter>
  </headerFooter>
  <rowBreaks count="5" manualBreakCount="5">
    <brk id="25" max="16383" man="1"/>
    <brk id="49" max="16383" man="1"/>
    <brk id="71" max="8" man="1"/>
    <brk id="93" max="8" man="1"/>
    <brk id="117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153"/>
  <sheetViews>
    <sheetView view="pageBreakPreview" zoomScale="85" zoomScaleNormal="100" topLeftCell="A58" workbookViewId="0">
      <selection activeCell="O8" sqref="O8"/>
    </sheetView>
  </sheetViews>
  <sheetFormatPr defaultColWidth="9" defaultRowHeight="14.25"/>
  <cols>
    <col min="1" max="1" width="7" customWidth="1"/>
    <col min="2" max="2" width="19.6" customWidth="1"/>
    <col min="3" max="3" width="13.6" customWidth="1"/>
    <col min="4" max="4" width="17.9" customWidth="1"/>
    <col min="5" max="6" width="12.6" customWidth="1"/>
    <col min="7" max="7" width="12.7" customWidth="1"/>
    <col min="8" max="8" width="9.5" customWidth="1"/>
    <col min="9" max="9" width="16" customWidth="1"/>
    <col min="10" max="11" width="8"/>
    <col min="12" max="12" width="14.6" customWidth="1"/>
    <col min="13" max="15" width="8"/>
    <col min="16" max="16" width="8.2" customWidth="1"/>
    <col min="17" max="25" width="8"/>
    <col min="26" max="26" width="13.7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customHeight="1" spans="1:9">
      <c r="A2" s="45" t="s">
        <v>2</v>
      </c>
      <c r="B2" s="45"/>
      <c r="C2" s="45"/>
      <c r="D2" s="45"/>
      <c r="E2" s="45"/>
      <c r="F2" s="45"/>
      <c r="G2" s="45"/>
      <c r="H2" s="45"/>
      <c r="I2" s="45"/>
    </row>
    <row r="3" s="1" customFormat="1" ht="15.75" customHeight="1" spans="1:9">
      <c r="A3" s="7" t="s">
        <v>328</v>
      </c>
      <c r="B3" s="7"/>
      <c r="C3" s="7"/>
      <c r="D3" s="7"/>
      <c r="E3" s="7"/>
      <c r="F3" s="7"/>
      <c r="G3" s="7"/>
      <c r="H3" s="7"/>
      <c r="I3" s="7"/>
    </row>
    <row r="4" s="1" customFormat="1" ht="15.75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1" customFormat="1" ht="15.75" spans="1:9">
      <c r="A5" s="5" t="s">
        <v>329</v>
      </c>
      <c r="B5" s="5"/>
      <c r="C5" s="5"/>
      <c r="D5" s="5"/>
      <c r="E5" s="5"/>
      <c r="F5" s="5"/>
      <c r="G5" s="5"/>
      <c r="H5" s="5"/>
      <c r="I5" s="5"/>
    </row>
    <row r="6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ht="15.75" customHeight="1" spans="1:9">
      <c r="A7" s="6" t="s">
        <v>7</v>
      </c>
      <c r="B7" s="6"/>
      <c r="C7" s="6"/>
      <c r="D7" s="6"/>
      <c r="E7" s="6"/>
      <c r="G7" s="61" t="s">
        <v>8</v>
      </c>
      <c r="H7" s="61"/>
      <c r="I7" s="61"/>
    </row>
    <row r="8" s="1" customFormat="1" ht="47.25" spans="1:9">
      <c r="A8" s="62" t="s">
        <v>103</v>
      </c>
      <c r="B8" s="63" t="s">
        <v>10</v>
      </c>
      <c r="C8" s="62" t="s">
        <v>11</v>
      </c>
      <c r="D8" s="63" t="s">
        <v>12</v>
      </c>
      <c r="E8" s="63" t="s">
        <v>13</v>
      </c>
      <c r="F8" s="63" t="s">
        <v>14</v>
      </c>
      <c r="G8" s="63" t="s">
        <v>15</v>
      </c>
      <c r="H8" s="63" t="s">
        <v>16</v>
      </c>
      <c r="I8" s="63" t="s">
        <v>17</v>
      </c>
    </row>
    <row r="9" s="1" customFormat="1" ht="15.75" spans="1:9">
      <c r="A9" s="41" t="s">
        <v>18</v>
      </c>
      <c r="B9" s="35" t="s">
        <v>19</v>
      </c>
      <c r="C9" s="41" t="s">
        <v>20</v>
      </c>
      <c r="D9" s="37" t="s">
        <v>21</v>
      </c>
      <c r="E9" s="37" t="s">
        <v>22</v>
      </c>
      <c r="F9" s="37" t="s">
        <v>23</v>
      </c>
      <c r="G9" s="37" t="s">
        <v>24</v>
      </c>
      <c r="H9" s="37" t="s">
        <v>25</v>
      </c>
      <c r="I9" s="37" t="s">
        <v>26</v>
      </c>
    </row>
    <row r="10" ht="15.75" spans="1:9">
      <c r="A10" s="9">
        <v>1</v>
      </c>
      <c r="B10" s="9">
        <v>1981</v>
      </c>
      <c r="C10" s="64" t="s">
        <v>27</v>
      </c>
      <c r="D10" s="65" t="s">
        <v>139</v>
      </c>
      <c r="E10" s="14">
        <v>64505</v>
      </c>
      <c r="F10" s="15" t="s">
        <v>29</v>
      </c>
      <c r="G10" s="16">
        <f>E10*(65.19*365)/POWER(10,9)</f>
        <v>1.53485454675</v>
      </c>
      <c r="H10" s="15" t="s">
        <v>29</v>
      </c>
      <c r="I10" s="16">
        <f>G10</f>
        <v>1.53485454675</v>
      </c>
    </row>
    <row r="11" ht="15.75" spans="1:9">
      <c r="A11" s="9"/>
      <c r="B11" s="9"/>
      <c r="C11" s="64"/>
      <c r="D11" s="65" t="s">
        <v>43</v>
      </c>
      <c r="E11" s="14">
        <v>17809</v>
      </c>
      <c r="F11" s="15" t="s">
        <v>29</v>
      </c>
      <c r="G11" s="16">
        <f t="shared" ref="G11:G24" si="0">E11*(65.19*365)/POWER(10,9)</f>
        <v>0.42375357915</v>
      </c>
      <c r="H11" s="15" t="s">
        <v>29</v>
      </c>
      <c r="I11" s="16">
        <f t="shared" ref="I11:I15" si="1">G11</f>
        <v>0.42375357915</v>
      </c>
    </row>
    <row r="12" ht="15.75" spans="1:9">
      <c r="A12" s="9"/>
      <c r="B12" s="9"/>
      <c r="C12" s="64"/>
      <c r="D12" s="65" t="s">
        <v>323</v>
      </c>
      <c r="E12" s="14">
        <v>56783</v>
      </c>
      <c r="F12" s="15" t="s">
        <v>29</v>
      </c>
      <c r="G12" s="16">
        <f t="shared" si="0"/>
        <v>1.35111457605</v>
      </c>
      <c r="H12" s="15" t="s">
        <v>29</v>
      </c>
      <c r="I12" s="16">
        <f t="shared" si="1"/>
        <v>1.35111457605</v>
      </c>
    </row>
    <row r="13" ht="15.75" spans="1:9">
      <c r="A13" s="9">
        <v>2</v>
      </c>
      <c r="B13" s="9">
        <v>1991</v>
      </c>
      <c r="C13" s="64" t="s">
        <v>27</v>
      </c>
      <c r="D13" s="65" t="s">
        <v>139</v>
      </c>
      <c r="E13" s="14">
        <v>75072</v>
      </c>
      <c r="F13" s="15" t="s">
        <v>29</v>
      </c>
      <c r="G13" s="16">
        <f t="shared" si="0"/>
        <v>1.7862894432</v>
      </c>
      <c r="H13" s="15" t="s">
        <v>29</v>
      </c>
      <c r="I13" s="16">
        <f t="shared" si="1"/>
        <v>1.7862894432</v>
      </c>
    </row>
    <row r="14" ht="15.75" spans="1:9">
      <c r="A14" s="9"/>
      <c r="B14" s="9"/>
      <c r="C14" s="64"/>
      <c r="D14" s="65" t="s">
        <v>43</v>
      </c>
      <c r="E14" s="18">
        <v>20726</v>
      </c>
      <c r="F14" s="15" t="s">
        <v>29</v>
      </c>
      <c r="G14" s="16">
        <f t="shared" si="0"/>
        <v>0.4931616981</v>
      </c>
      <c r="H14" s="15" t="s">
        <v>29</v>
      </c>
      <c r="I14" s="16">
        <f t="shared" si="1"/>
        <v>0.4931616981</v>
      </c>
    </row>
    <row r="15" ht="15.75" spans="1:9">
      <c r="A15" s="9"/>
      <c r="B15" s="9"/>
      <c r="C15" s="64"/>
      <c r="D15" s="65" t="s">
        <v>323</v>
      </c>
      <c r="E15" s="14">
        <v>66085</v>
      </c>
      <c r="F15" s="15" t="s">
        <v>29</v>
      </c>
      <c r="G15" s="16">
        <f t="shared" si="0"/>
        <v>1.57244961975</v>
      </c>
      <c r="H15" s="15" t="s">
        <v>29</v>
      </c>
      <c r="I15" s="16">
        <f t="shared" si="1"/>
        <v>1.57244961975</v>
      </c>
    </row>
    <row r="16" ht="15.75" spans="1:11">
      <c r="A16" s="9">
        <v>3</v>
      </c>
      <c r="B16" s="12">
        <v>2001</v>
      </c>
      <c r="C16" s="12" t="s">
        <v>140</v>
      </c>
      <c r="D16" s="65" t="s">
        <v>323</v>
      </c>
      <c r="E16" s="14">
        <v>70529</v>
      </c>
      <c r="F16" s="19">
        <v>92129</v>
      </c>
      <c r="G16" s="16">
        <f t="shared" si="0"/>
        <v>1.67819171115</v>
      </c>
      <c r="H16" s="20">
        <v>2.02223114960765</v>
      </c>
      <c r="I16" s="16">
        <f t="shared" ref="I16:I24" si="2">G16+H16</f>
        <v>3.70042286075765</v>
      </c>
      <c r="K16" s="53"/>
    </row>
    <row r="17" ht="15.75" spans="1:11">
      <c r="A17" s="9"/>
      <c r="B17" s="17"/>
      <c r="C17" s="17"/>
      <c r="D17" s="65" t="s">
        <v>43</v>
      </c>
      <c r="E17" s="14">
        <v>22120</v>
      </c>
      <c r="F17" s="19">
        <v>20154</v>
      </c>
      <c r="G17" s="16">
        <f t="shared" si="0"/>
        <v>0.526331022</v>
      </c>
      <c r="H17" s="20">
        <v>0.512136576823847</v>
      </c>
      <c r="I17" s="16">
        <f t="shared" si="2"/>
        <v>1.03846759882385</v>
      </c>
      <c r="K17" s="53"/>
    </row>
    <row r="18" ht="15.75" spans="1:11">
      <c r="A18" s="9"/>
      <c r="B18" s="21"/>
      <c r="C18" s="21"/>
      <c r="D18" s="65" t="s">
        <v>139</v>
      </c>
      <c r="E18" s="14">
        <v>80121</v>
      </c>
      <c r="F18" s="19">
        <v>71691</v>
      </c>
      <c r="G18" s="16">
        <f t="shared" si="0"/>
        <v>1.90642711635</v>
      </c>
      <c r="H18" s="20">
        <v>1.505678950138</v>
      </c>
      <c r="I18" s="16">
        <f t="shared" si="2"/>
        <v>3.412106066488</v>
      </c>
      <c r="K18" s="53"/>
    </row>
    <row r="19" ht="15.75" spans="1:11">
      <c r="A19" s="9">
        <v>4</v>
      </c>
      <c r="B19" s="12">
        <v>2001</v>
      </c>
      <c r="C19" s="12" t="s">
        <v>140</v>
      </c>
      <c r="D19" s="65" t="s">
        <v>323</v>
      </c>
      <c r="E19" s="14">
        <v>84405</v>
      </c>
      <c r="F19" s="19">
        <v>122674</v>
      </c>
      <c r="G19" s="16">
        <f t="shared" si="0"/>
        <v>2.00836211175</v>
      </c>
      <c r="H19" s="20">
        <v>1.6810107936943</v>
      </c>
      <c r="I19" s="16">
        <f t="shared" si="2"/>
        <v>3.6893729054443</v>
      </c>
      <c r="K19" s="53"/>
    </row>
    <row r="20" ht="15.75" spans="1:11">
      <c r="A20" s="9"/>
      <c r="B20" s="17"/>
      <c r="C20" s="17"/>
      <c r="D20" s="65" t="s">
        <v>43</v>
      </c>
      <c r="E20" s="14">
        <v>26472</v>
      </c>
      <c r="F20" s="19">
        <v>34323</v>
      </c>
      <c r="G20" s="16">
        <f t="shared" si="0"/>
        <v>0.6298840332</v>
      </c>
      <c r="H20" s="20">
        <v>0.49879609475778</v>
      </c>
      <c r="I20" s="16">
        <f t="shared" si="2"/>
        <v>1.12868012795778</v>
      </c>
      <c r="K20" s="53"/>
    </row>
    <row r="21" ht="15.75" spans="1:11">
      <c r="A21" s="9"/>
      <c r="B21" s="21"/>
      <c r="C21" s="21"/>
      <c r="D21" s="65" t="s">
        <v>139</v>
      </c>
      <c r="E21" s="14">
        <v>95884</v>
      </c>
      <c r="F21" s="19">
        <v>82527</v>
      </c>
      <c r="G21" s="16">
        <f t="shared" si="0"/>
        <v>2.2814974554</v>
      </c>
      <c r="H21" s="20">
        <v>1.34488961126357</v>
      </c>
      <c r="I21" s="16">
        <f t="shared" si="2"/>
        <v>3.62638706666357</v>
      </c>
      <c r="K21" s="53"/>
    </row>
    <row r="22" ht="15.75" spans="1:11">
      <c r="A22" s="9">
        <v>5</v>
      </c>
      <c r="B22" s="12">
        <v>2001</v>
      </c>
      <c r="C22" s="12" t="s">
        <v>140</v>
      </c>
      <c r="D22" s="65" t="s">
        <v>323</v>
      </c>
      <c r="E22" s="44">
        <v>95899</v>
      </c>
      <c r="F22" s="19">
        <v>103690</v>
      </c>
      <c r="G22" s="16">
        <f t="shared" si="0"/>
        <v>2.28185437065</v>
      </c>
      <c r="H22" s="20">
        <v>1.01128185424215</v>
      </c>
      <c r="I22" s="16">
        <f t="shared" si="2"/>
        <v>3.29313622489215</v>
      </c>
      <c r="K22" s="53"/>
    </row>
    <row r="23" ht="15.75" spans="1:11">
      <c r="A23" s="9"/>
      <c r="B23" s="17"/>
      <c r="C23" s="17"/>
      <c r="D23" s="65" t="s">
        <v>43</v>
      </c>
      <c r="E23" s="44">
        <v>30077</v>
      </c>
      <c r="F23" s="19">
        <v>28311</v>
      </c>
      <c r="G23" s="16">
        <f t="shared" si="0"/>
        <v>0.71566266495</v>
      </c>
      <c r="H23" s="20">
        <v>0.363475238221029</v>
      </c>
      <c r="I23" s="16">
        <f t="shared" si="2"/>
        <v>1.07913790317103</v>
      </c>
      <c r="K23" s="53"/>
    </row>
    <row r="24" ht="15.75" spans="1:11">
      <c r="A24" s="9"/>
      <c r="B24" s="21"/>
      <c r="C24" s="21"/>
      <c r="D24" s="65" t="s">
        <v>139</v>
      </c>
      <c r="E24" s="44">
        <v>108941</v>
      </c>
      <c r="F24" s="19">
        <v>90113</v>
      </c>
      <c r="G24" s="16">
        <f t="shared" si="0"/>
        <v>2.59218028335</v>
      </c>
      <c r="H24" s="20">
        <v>0.917204465239161</v>
      </c>
      <c r="I24" s="16">
        <f t="shared" si="2"/>
        <v>3.50938474858916</v>
      </c>
      <c r="K24" s="53"/>
    </row>
    <row r="25" ht="15.75" spans="1:11">
      <c r="A25" s="24"/>
      <c r="B25" s="24"/>
      <c r="C25" s="24"/>
      <c r="D25" s="66"/>
      <c r="E25" s="67"/>
      <c r="F25" s="28"/>
      <c r="G25" s="29"/>
      <c r="H25" s="30"/>
      <c r="I25" s="29"/>
      <c r="K25" s="53"/>
    </row>
    <row r="26" ht="15.75" spans="1:11">
      <c r="A26" s="4" t="s">
        <v>81</v>
      </c>
      <c r="B26" s="68"/>
      <c r="C26" s="68"/>
      <c r="D26" s="33"/>
      <c r="E26" s="34"/>
      <c r="F26" s="34"/>
      <c r="G26" s="61" t="s">
        <v>8</v>
      </c>
      <c r="H26" s="61"/>
      <c r="I26" s="61"/>
      <c r="K26" s="53"/>
    </row>
    <row r="27" ht="63" spans="1:11">
      <c r="A27" s="35" t="s">
        <v>9</v>
      </c>
      <c r="B27" s="69" t="s">
        <v>10</v>
      </c>
      <c r="C27" s="69" t="s">
        <v>11</v>
      </c>
      <c r="D27" s="69" t="s">
        <v>324</v>
      </c>
      <c r="E27" s="69" t="s">
        <v>13</v>
      </c>
      <c r="F27" s="69" t="s">
        <v>84</v>
      </c>
      <c r="G27" s="69" t="s">
        <v>15</v>
      </c>
      <c r="H27" s="69" t="s">
        <v>16</v>
      </c>
      <c r="I27" s="69" t="s">
        <v>17</v>
      </c>
      <c r="K27" s="53"/>
    </row>
    <row r="28" s="1" customFormat="1" ht="15.75" spans="1:11">
      <c r="A28" s="41" t="s">
        <v>18</v>
      </c>
      <c r="B28" s="35" t="s">
        <v>19</v>
      </c>
      <c r="C28" s="41" t="s">
        <v>20</v>
      </c>
      <c r="D28" s="35" t="s">
        <v>21</v>
      </c>
      <c r="E28" s="35" t="s">
        <v>22</v>
      </c>
      <c r="F28" s="35" t="s">
        <v>23</v>
      </c>
      <c r="G28" s="35" t="s">
        <v>24</v>
      </c>
      <c r="H28" s="35" t="s">
        <v>25</v>
      </c>
      <c r="I28" s="35" t="s">
        <v>26</v>
      </c>
      <c r="K28" s="54"/>
    </row>
    <row r="29" ht="37.5" customHeight="1" spans="1:9">
      <c r="A29" s="9">
        <v>1</v>
      </c>
      <c r="B29" s="12">
        <v>1981</v>
      </c>
      <c r="C29" s="70" t="s">
        <v>27</v>
      </c>
      <c r="D29" s="65" t="s">
        <v>139</v>
      </c>
      <c r="E29" s="71">
        <v>8111</v>
      </c>
      <c r="F29" s="15" t="s">
        <v>29</v>
      </c>
      <c r="G29" s="43">
        <f>E29*(162*365)/POWER(10,9)</f>
        <v>0.47960343</v>
      </c>
      <c r="H29" s="15" t="s">
        <v>29</v>
      </c>
      <c r="I29" s="43">
        <f>G29</f>
        <v>0.47960343</v>
      </c>
    </row>
    <row r="30" ht="32.25" customHeight="1" spans="1:9">
      <c r="A30" s="9">
        <v>2</v>
      </c>
      <c r="B30" s="9">
        <v>1991</v>
      </c>
      <c r="C30" s="9" t="s">
        <v>27</v>
      </c>
      <c r="D30" s="72" t="s">
        <v>139</v>
      </c>
      <c r="E30" s="15">
        <v>13869</v>
      </c>
      <c r="F30" s="15" t="s">
        <v>29</v>
      </c>
      <c r="G30" s="43">
        <f t="shared" ref="G30:G36" si="3">E30*(162*365)/POWER(10,9)</f>
        <v>0.82007397</v>
      </c>
      <c r="H30" s="15" t="s">
        <v>29</v>
      </c>
      <c r="I30" s="43">
        <f>G30</f>
        <v>0.82007397</v>
      </c>
    </row>
    <row r="31" ht="15.75" spans="1:9">
      <c r="A31" s="9">
        <v>3</v>
      </c>
      <c r="B31" s="9">
        <v>2001</v>
      </c>
      <c r="C31" s="9" t="s">
        <v>140</v>
      </c>
      <c r="D31" s="72" t="s">
        <v>139</v>
      </c>
      <c r="E31" s="15">
        <v>17081</v>
      </c>
      <c r="F31" s="19">
        <v>24124</v>
      </c>
      <c r="G31" s="43">
        <f t="shared" si="3"/>
        <v>1.00999953</v>
      </c>
      <c r="H31" s="20">
        <v>0.0653673675015941</v>
      </c>
      <c r="I31" s="43">
        <f t="shared" ref="I31:I36" si="4">G31+H31</f>
        <v>1.07536689750159</v>
      </c>
    </row>
    <row r="32" ht="15.75" spans="1:9">
      <c r="A32" s="9"/>
      <c r="B32" s="9"/>
      <c r="C32" s="9"/>
      <c r="D32" s="72" t="s">
        <v>323</v>
      </c>
      <c r="E32" s="15">
        <v>8818</v>
      </c>
      <c r="F32" s="19">
        <v>12091</v>
      </c>
      <c r="G32" s="43">
        <f t="shared" si="3"/>
        <v>0.52140834</v>
      </c>
      <c r="H32" s="20">
        <v>0.0366407668726162</v>
      </c>
      <c r="I32" s="43">
        <f t="shared" si="4"/>
        <v>0.558049106872616</v>
      </c>
    </row>
    <row r="33" ht="15.75" spans="1:9">
      <c r="A33" s="9">
        <v>4</v>
      </c>
      <c r="B33" s="9">
        <v>2011</v>
      </c>
      <c r="C33" s="9" t="s">
        <v>140</v>
      </c>
      <c r="D33" s="72" t="s">
        <v>139</v>
      </c>
      <c r="E33" s="15">
        <v>20043</v>
      </c>
      <c r="F33" s="19">
        <v>7552</v>
      </c>
      <c r="G33" s="43">
        <f t="shared" si="3"/>
        <v>1.18514259</v>
      </c>
      <c r="H33" s="20">
        <v>0.05817941225</v>
      </c>
      <c r="I33" s="43">
        <f t="shared" si="4"/>
        <v>1.24332200225</v>
      </c>
    </row>
    <row r="34" ht="15.75" spans="1:9">
      <c r="A34" s="9"/>
      <c r="B34" s="9"/>
      <c r="C34" s="9"/>
      <c r="D34" s="72" t="s">
        <v>323</v>
      </c>
      <c r="E34" s="15">
        <v>10345</v>
      </c>
      <c r="F34" s="19">
        <v>6437</v>
      </c>
      <c r="G34" s="43">
        <f t="shared" si="3"/>
        <v>0.61169985</v>
      </c>
      <c r="H34" s="20">
        <v>0.0195133015</v>
      </c>
      <c r="I34" s="43">
        <f t="shared" si="4"/>
        <v>0.6312131515</v>
      </c>
    </row>
    <row r="35" ht="15.75" spans="1:9">
      <c r="A35" s="9">
        <v>5</v>
      </c>
      <c r="B35" s="9">
        <v>2021</v>
      </c>
      <c r="C35" s="9" t="s">
        <v>140</v>
      </c>
      <c r="D35" s="72" t="s">
        <v>139</v>
      </c>
      <c r="E35" s="19">
        <v>24264</v>
      </c>
      <c r="F35" s="19">
        <v>757</v>
      </c>
      <c r="G35" s="43">
        <f t="shared" si="3"/>
        <v>1.43473032</v>
      </c>
      <c r="H35" s="20">
        <v>0.0207956142857143</v>
      </c>
      <c r="I35" s="43">
        <f t="shared" si="4"/>
        <v>1.45552593428571</v>
      </c>
    </row>
    <row r="36" ht="15.75" spans="1:9">
      <c r="A36" s="9"/>
      <c r="B36" s="9"/>
      <c r="C36" s="9"/>
      <c r="D36" s="72" t="s">
        <v>323</v>
      </c>
      <c r="E36" s="19">
        <v>12524</v>
      </c>
      <c r="F36" s="19">
        <v>371</v>
      </c>
      <c r="G36" s="43">
        <f t="shared" si="3"/>
        <v>0.74054412</v>
      </c>
      <c r="H36" s="20">
        <v>0.00908349428571428</v>
      </c>
      <c r="I36" s="43">
        <f t="shared" si="4"/>
        <v>0.749627614285714</v>
      </c>
    </row>
    <row r="37" ht="15.75" spans="1:9">
      <c r="A37" s="24"/>
      <c r="B37" s="24"/>
      <c r="C37" s="24"/>
      <c r="D37" s="66"/>
      <c r="E37" s="67"/>
      <c r="F37" s="28"/>
      <c r="G37" s="29"/>
      <c r="H37" s="30"/>
      <c r="I37" s="29"/>
    </row>
    <row r="38" ht="18.75" spans="1:9">
      <c r="A38" s="39" t="s">
        <v>102</v>
      </c>
      <c r="B38" s="39"/>
      <c r="C38" s="39"/>
      <c r="D38" s="39"/>
      <c r="E38" s="39"/>
      <c r="F38" s="39"/>
      <c r="G38" s="39"/>
      <c r="H38" s="39"/>
      <c r="I38" s="39"/>
    </row>
    <row r="39" ht="15.75" spans="1:9">
      <c r="A39" s="40" t="s">
        <v>7</v>
      </c>
      <c r="B39" s="40"/>
      <c r="C39" s="40"/>
      <c r="D39" s="40"/>
      <c r="E39" s="40"/>
      <c r="F39" s="40"/>
      <c r="G39" s="61" t="s">
        <v>8</v>
      </c>
      <c r="H39" s="61"/>
      <c r="I39" s="61"/>
    </row>
    <row r="40" s="1" customFormat="1" ht="47.25" spans="1:9">
      <c r="A40" s="62" t="s">
        <v>103</v>
      </c>
      <c r="B40" s="63" t="s">
        <v>104</v>
      </c>
      <c r="C40" s="62" t="s">
        <v>11</v>
      </c>
      <c r="D40" s="62" t="s">
        <v>12</v>
      </c>
      <c r="E40" s="73" t="s">
        <v>13</v>
      </c>
      <c r="F40" s="73" t="s">
        <v>84</v>
      </c>
      <c r="G40" s="73" t="s">
        <v>15</v>
      </c>
      <c r="H40" s="73" t="s">
        <v>16</v>
      </c>
      <c r="I40" s="73" t="s">
        <v>17</v>
      </c>
    </row>
    <row r="41" s="1" customFormat="1" ht="15.75" spans="1:9">
      <c r="A41" s="41" t="s">
        <v>18</v>
      </c>
      <c r="B41" s="35" t="s">
        <v>19</v>
      </c>
      <c r="C41" s="41" t="s">
        <v>20</v>
      </c>
      <c r="D41" s="37" t="s">
        <v>21</v>
      </c>
      <c r="E41" s="37" t="s">
        <v>22</v>
      </c>
      <c r="F41" s="37" t="s">
        <v>23</v>
      </c>
      <c r="G41" s="37" t="s">
        <v>24</v>
      </c>
      <c r="H41" s="37" t="s">
        <v>25</v>
      </c>
      <c r="I41" s="37" t="s">
        <v>26</v>
      </c>
    </row>
    <row r="42" ht="15.75" spans="1:9">
      <c r="A42" s="71">
        <v>1</v>
      </c>
      <c r="B42" s="71">
        <v>2025</v>
      </c>
      <c r="C42" s="74" t="s">
        <v>140</v>
      </c>
      <c r="D42" s="71" t="s">
        <v>323</v>
      </c>
      <c r="E42" s="44">
        <v>101137</v>
      </c>
      <c r="F42" s="75">
        <v>99547</v>
      </c>
      <c r="G42" s="16">
        <f t="shared" ref="G42:G47" si="5">E42*(65.19*365)/POWER(10,9)</f>
        <v>2.40648917595</v>
      </c>
      <c r="H42" s="76">
        <v>0.807332898160073</v>
      </c>
      <c r="I42" s="16">
        <f t="shared" ref="I42:I47" si="6">G42+H42</f>
        <v>3.21382207411007</v>
      </c>
    </row>
    <row r="43" ht="15.75" spans="1:9">
      <c r="A43" s="71"/>
      <c r="B43" s="71"/>
      <c r="C43" s="74" t="s">
        <v>140</v>
      </c>
      <c r="D43" s="71" t="s">
        <v>43</v>
      </c>
      <c r="E43" s="44">
        <v>31719</v>
      </c>
      <c r="F43" s="75">
        <v>25308</v>
      </c>
      <c r="G43" s="16">
        <f t="shared" si="5"/>
        <v>0.75473298765</v>
      </c>
      <c r="H43" s="76">
        <v>0.317599512708857</v>
      </c>
      <c r="I43" s="16">
        <f t="shared" si="6"/>
        <v>1.07233250035886</v>
      </c>
    </row>
    <row r="44" ht="15.75" spans="1:9">
      <c r="A44" s="71"/>
      <c r="B44" s="71"/>
      <c r="C44" s="74" t="s">
        <v>140</v>
      </c>
      <c r="D44" s="71" t="s">
        <v>139</v>
      </c>
      <c r="E44" s="44">
        <v>114891</v>
      </c>
      <c r="F44" s="75">
        <v>96283</v>
      </c>
      <c r="G44" s="16">
        <f t="shared" si="5"/>
        <v>2.73375666585</v>
      </c>
      <c r="H44" s="76">
        <v>0.776524694231282</v>
      </c>
      <c r="I44" s="16">
        <f t="shared" si="6"/>
        <v>3.51028136008128</v>
      </c>
    </row>
    <row r="45" ht="19.5" customHeight="1" spans="1:9">
      <c r="A45" s="71">
        <v>2</v>
      </c>
      <c r="B45" s="71">
        <v>2050</v>
      </c>
      <c r="C45" s="74" t="s">
        <v>140</v>
      </c>
      <c r="D45" s="71" t="s">
        <v>323</v>
      </c>
      <c r="E45" s="44">
        <v>142166</v>
      </c>
      <c r="F45" s="75">
        <v>87697</v>
      </c>
      <c r="G45" s="16">
        <f t="shared" si="5"/>
        <v>3.3827475621</v>
      </c>
      <c r="H45" s="76">
        <v>0.0915161014448143</v>
      </c>
      <c r="I45" s="16">
        <f t="shared" si="6"/>
        <v>3.47426366354481</v>
      </c>
    </row>
    <row r="46" ht="15.75" spans="1:9">
      <c r="A46" s="71"/>
      <c r="B46" s="71"/>
      <c r="C46" s="74" t="s">
        <v>140</v>
      </c>
      <c r="D46" s="71" t="s">
        <v>43</v>
      </c>
      <c r="E46" s="44">
        <v>44587</v>
      </c>
      <c r="F46" s="75">
        <v>8189</v>
      </c>
      <c r="G46" s="16">
        <f t="shared" si="5"/>
        <v>1.06091868345</v>
      </c>
      <c r="H46" s="76">
        <v>0.0761576647985144</v>
      </c>
      <c r="I46" s="16">
        <f t="shared" si="6"/>
        <v>1.13707634824851</v>
      </c>
    </row>
    <row r="47" ht="15.75" spans="1:9">
      <c r="A47" s="71"/>
      <c r="B47" s="71"/>
      <c r="C47" s="74" t="s">
        <v>140</v>
      </c>
      <c r="D47" s="71" t="s">
        <v>139</v>
      </c>
      <c r="E47" s="44">
        <v>161499</v>
      </c>
      <c r="F47" s="75">
        <v>144443</v>
      </c>
      <c r="G47" s="16">
        <f t="shared" si="5"/>
        <v>3.84276373065</v>
      </c>
      <c r="H47" s="76">
        <v>0.282670228948952</v>
      </c>
      <c r="I47" s="16">
        <f t="shared" si="6"/>
        <v>4.12543395959895</v>
      </c>
    </row>
    <row r="48" ht="15.75" spans="1:9">
      <c r="A48" s="24"/>
      <c r="B48" s="24"/>
      <c r="C48" s="24"/>
      <c r="D48" s="66"/>
      <c r="E48" s="67"/>
      <c r="F48" s="28"/>
      <c r="G48" s="29"/>
      <c r="H48" s="30"/>
      <c r="I48" s="29"/>
    </row>
    <row r="49" ht="15.75" spans="1:9">
      <c r="A49" s="4" t="s">
        <v>105</v>
      </c>
      <c r="B49" s="24"/>
      <c r="C49" s="25"/>
      <c r="D49" s="24"/>
      <c r="E49" s="27"/>
      <c r="F49" s="77"/>
      <c r="G49" s="61" t="s">
        <v>8</v>
      </c>
      <c r="H49" s="61"/>
      <c r="I49" s="61"/>
    </row>
    <row r="50" ht="63" spans="1:9">
      <c r="A50" s="63" t="s">
        <v>103</v>
      </c>
      <c r="B50" s="63" t="s">
        <v>104</v>
      </c>
      <c r="C50" s="63" t="s">
        <v>11</v>
      </c>
      <c r="D50" s="63" t="s">
        <v>106</v>
      </c>
      <c r="E50" s="63" t="s">
        <v>13</v>
      </c>
      <c r="F50" s="63" t="s">
        <v>84</v>
      </c>
      <c r="G50" s="63" t="s">
        <v>15</v>
      </c>
      <c r="H50" s="63" t="s">
        <v>16</v>
      </c>
      <c r="I50" s="63" t="s">
        <v>17</v>
      </c>
    </row>
    <row r="51" s="1" customFormat="1" ht="15.75" spans="1:9">
      <c r="A51" s="41" t="s">
        <v>18</v>
      </c>
      <c r="B51" s="35" t="s">
        <v>19</v>
      </c>
      <c r="C51" s="41" t="s">
        <v>20</v>
      </c>
      <c r="D51" s="37" t="s">
        <v>21</v>
      </c>
      <c r="E51" s="37" t="s">
        <v>22</v>
      </c>
      <c r="F51" s="37" t="s">
        <v>23</v>
      </c>
      <c r="G51" s="37" t="s">
        <v>24</v>
      </c>
      <c r="H51" s="37" t="s">
        <v>25</v>
      </c>
      <c r="I51" s="37" t="s">
        <v>26</v>
      </c>
    </row>
    <row r="52" ht="15.75" spans="1:9">
      <c r="A52" s="71">
        <v>1</v>
      </c>
      <c r="B52" s="71">
        <v>2025</v>
      </c>
      <c r="C52" s="71" t="s">
        <v>140</v>
      </c>
      <c r="D52" s="71" t="s">
        <v>139</v>
      </c>
      <c r="E52" s="19">
        <v>25611</v>
      </c>
      <c r="F52" s="19">
        <v>290</v>
      </c>
      <c r="G52" s="43">
        <f t="shared" ref="G52:G55" si="7">E52*(162*365)/POWER(10,9)</f>
        <v>1.51437843</v>
      </c>
      <c r="H52" s="20">
        <v>0.00768898571428572</v>
      </c>
      <c r="I52" s="20">
        <f>G52+H52</f>
        <v>1.52206741571429</v>
      </c>
    </row>
    <row r="53" ht="15.75" spans="1:9">
      <c r="A53" s="71"/>
      <c r="B53" s="71"/>
      <c r="C53" s="71"/>
      <c r="D53" s="71" t="s">
        <v>323</v>
      </c>
      <c r="E53" s="19">
        <v>12483</v>
      </c>
      <c r="F53" s="19">
        <v>279</v>
      </c>
      <c r="G53" s="43">
        <f t="shared" si="7"/>
        <v>0.73811979</v>
      </c>
      <c r="H53" s="20">
        <v>0.00545852285714286</v>
      </c>
      <c r="I53" s="20">
        <f>G53+H53</f>
        <v>0.743578312857143</v>
      </c>
    </row>
    <row r="54" ht="15.75" spans="1:9">
      <c r="A54" s="71">
        <v>2</v>
      </c>
      <c r="B54" s="71">
        <v>2050</v>
      </c>
      <c r="C54" s="71" t="s">
        <v>140</v>
      </c>
      <c r="D54" s="71" t="s">
        <v>139</v>
      </c>
      <c r="E54" s="19">
        <v>35555</v>
      </c>
      <c r="F54" s="19">
        <v>16</v>
      </c>
      <c r="G54" s="43">
        <f t="shared" si="7"/>
        <v>2.10236715</v>
      </c>
      <c r="H54" s="20">
        <v>0.000297214285714286</v>
      </c>
      <c r="I54" s="20">
        <f>G54+H54</f>
        <v>2.10266436428571</v>
      </c>
    </row>
    <row r="55" ht="15.75" spans="1:9">
      <c r="A55" s="71"/>
      <c r="B55" s="71"/>
      <c r="C55" s="71"/>
      <c r="D55" s="71" t="s">
        <v>323</v>
      </c>
      <c r="E55" s="19">
        <v>16300</v>
      </c>
      <c r="F55" s="78">
        <v>202</v>
      </c>
      <c r="G55" s="43">
        <f t="shared" si="7"/>
        <v>0.963819</v>
      </c>
      <c r="H55" s="79">
        <v>0.00295201571428571</v>
      </c>
      <c r="I55" s="20">
        <f>G55+H55</f>
        <v>0.966771015714286</v>
      </c>
    </row>
    <row r="56" ht="15.75" spans="1:9">
      <c r="A56" s="24"/>
      <c r="B56" s="24"/>
      <c r="C56" s="24"/>
      <c r="D56" s="66"/>
      <c r="E56" s="67"/>
      <c r="F56" s="28"/>
      <c r="G56" s="29"/>
      <c r="H56" s="30"/>
      <c r="I56" s="29"/>
    </row>
    <row r="57" ht="15.6" customHeight="1" spans="1:9">
      <c r="A57" s="45" t="s">
        <v>108</v>
      </c>
      <c r="B57" s="7" t="s">
        <v>109</v>
      </c>
      <c r="C57" s="46"/>
      <c r="D57" s="46"/>
      <c r="E57" s="46"/>
      <c r="F57" s="46"/>
      <c r="G57" s="46"/>
      <c r="H57" s="46"/>
      <c r="I57" s="46"/>
    </row>
    <row r="58" ht="15.6" customHeight="1" spans="1:9">
      <c r="A58" s="46"/>
      <c r="B58" s="7" t="s">
        <v>110</v>
      </c>
      <c r="C58" s="47"/>
      <c r="D58" s="47"/>
      <c r="E58" s="47"/>
      <c r="F58" s="47"/>
      <c r="G58" s="47"/>
      <c r="H58" s="47"/>
      <c r="I58" s="47"/>
    </row>
    <row r="59" spans="2:2">
      <c r="B59" s="48" t="s">
        <v>111</v>
      </c>
    </row>
    <row r="60" s="2" customFormat="1" ht="15" customHeight="1" spans="2:2">
      <c r="B60" s="49" t="s">
        <v>112</v>
      </c>
    </row>
    <row r="61" s="2" customFormat="1" ht="15" customHeight="1" spans="2:2">
      <c r="B61" s="50" t="s">
        <v>113</v>
      </c>
    </row>
    <row r="62" s="2" customFormat="1" ht="15" customHeight="1" spans="2:2">
      <c r="B62" s="50" t="s">
        <v>114</v>
      </c>
    </row>
    <row r="63" s="2" customFormat="1" spans="2:2">
      <c r="B63" s="49" t="s">
        <v>115</v>
      </c>
    </row>
    <row r="64" s="2" customFormat="1" ht="16.5" customHeight="1" spans="2:2">
      <c r="B64" s="50" t="s">
        <v>116</v>
      </c>
    </row>
    <row r="65" s="2" customFormat="1" ht="16.5" customHeight="1" spans="2:2">
      <c r="B65" s="50" t="s">
        <v>117</v>
      </c>
    </row>
    <row r="66" spans="2:2">
      <c r="B66" s="49" t="s">
        <v>118</v>
      </c>
    </row>
    <row r="67" spans="2:2">
      <c r="B67" s="56" t="s">
        <v>119</v>
      </c>
    </row>
    <row r="68" spans="2:2">
      <c r="B68" s="56" t="s">
        <v>120</v>
      </c>
    </row>
    <row r="69" spans="2:2">
      <c r="B69" s="56" t="s">
        <v>121</v>
      </c>
    </row>
    <row r="70" spans="2:2">
      <c r="B70" s="56" t="s">
        <v>122</v>
      </c>
    </row>
    <row r="71" spans="2:2">
      <c r="B71" s="49" t="s">
        <v>123</v>
      </c>
    </row>
    <row r="72" spans="2:2">
      <c r="B72" s="49" t="s">
        <v>124</v>
      </c>
    </row>
    <row r="73" spans="2:2">
      <c r="B73" s="56" t="s">
        <v>125</v>
      </c>
    </row>
    <row r="74" spans="2:2">
      <c r="B74" s="56" t="s">
        <v>126</v>
      </c>
    </row>
    <row r="75" spans="2:2">
      <c r="B75" s="56" t="s">
        <v>127</v>
      </c>
    </row>
    <row r="76" spans="2:2">
      <c r="B76" s="56" t="s">
        <v>128</v>
      </c>
    </row>
    <row r="77" spans="2:2">
      <c r="B77" s="56" t="s">
        <v>129</v>
      </c>
    </row>
    <row r="78" spans="2:2">
      <c r="B78" s="49" t="s">
        <v>130</v>
      </c>
    </row>
    <row r="79" ht="15.75" spans="2:2">
      <c r="B79" s="57"/>
    </row>
    <row r="80" spans="2:2">
      <c r="B80" s="58" t="s">
        <v>131</v>
      </c>
    </row>
    <row r="81" spans="2:2">
      <c r="B81" s="58" t="s">
        <v>132</v>
      </c>
    </row>
    <row r="82" spans="2:2">
      <c r="B82" s="59" t="s">
        <v>133</v>
      </c>
    </row>
    <row r="83" spans="2:2">
      <c r="B83" s="60"/>
    </row>
    <row r="111" ht="19.5" customHeight="1"/>
    <row r="112" ht="19.5" customHeight="1"/>
    <row r="113" ht="19.5" customHeight="1"/>
    <row r="114" ht="19.5" customHeight="1"/>
    <row r="115" ht="19.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8" ht="15" customHeight="1"/>
    <row r="129" ht="15" customHeight="1"/>
    <row r="130" ht="15" customHeight="1"/>
    <row r="133" ht="16.5" customHeight="1"/>
    <row r="134" ht="16.5" customHeight="1"/>
    <row r="135" ht="16.5" customHeight="1"/>
    <row r="136" ht="16.5" customHeight="1"/>
    <row r="137" ht="16.5" customHeight="1"/>
    <row r="150" ht="13.95" customHeight="1"/>
    <row r="151" ht="13.95" customHeight="1"/>
    <row r="152" ht="13.95" customHeight="1"/>
    <row r="153" ht="13.95" customHeight="1"/>
  </sheetData>
  <mergeCells count="47">
    <mergeCell ref="A2:I2"/>
    <mergeCell ref="A3:I3"/>
    <mergeCell ref="A4:I4"/>
    <mergeCell ref="A5:I5"/>
    <mergeCell ref="A6:I6"/>
    <mergeCell ref="A7:E7"/>
    <mergeCell ref="G7:I7"/>
    <mergeCell ref="G26:I26"/>
    <mergeCell ref="A38:I38"/>
    <mergeCell ref="G39:I39"/>
    <mergeCell ref="G49:I49"/>
    <mergeCell ref="B57:I57"/>
    <mergeCell ref="B58:I58"/>
    <mergeCell ref="A10:A12"/>
    <mergeCell ref="A13:A15"/>
    <mergeCell ref="A16:A18"/>
    <mergeCell ref="A19:A21"/>
    <mergeCell ref="A22:A24"/>
    <mergeCell ref="A31:A32"/>
    <mergeCell ref="A33:A34"/>
    <mergeCell ref="A35:A36"/>
    <mergeCell ref="A42:A44"/>
    <mergeCell ref="A45:A47"/>
    <mergeCell ref="A52:A53"/>
    <mergeCell ref="A54:A55"/>
    <mergeCell ref="B10:B12"/>
    <mergeCell ref="B13:B15"/>
    <mergeCell ref="B16:B18"/>
    <mergeCell ref="B19:B21"/>
    <mergeCell ref="B22:B24"/>
    <mergeCell ref="B31:B32"/>
    <mergeCell ref="B33:B34"/>
    <mergeCell ref="B35:B36"/>
    <mergeCell ref="B42:B44"/>
    <mergeCell ref="B45:B47"/>
    <mergeCell ref="B52:B53"/>
    <mergeCell ref="B54:B55"/>
    <mergeCell ref="C10:C12"/>
    <mergeCell ref="C13:C15"/>
    <mergeCell ref="C16:C18"/>
    <mergeCell ref="C19:C21"/>
    <mergeCell ref="C22:C24"/>
    <mergeCell ref="C31:C32"/>
    <mergeCell ref="C33:C34"/>
    <mergeCell ref="C35:C36"/>
    <mergeCell ref="C52:C53"/>
    <mergeCell ref="C54:C55"/>
  </mergeCells>
  <pageMargins left="0.7" right="0.7" top="0.75" bottom="0.75" header="0.3" footer="0.3"/>
  <pageSetup paperSize="9" scale="99" fitToHeight="0" orientation="landscape"/>
  <headerFooter>
    <oddFooter>&amp;C&amp;"Times New Roman,Regular"&amp;10Page &amp;P</oddFooter>
  </headerFooter>
  <rowBreaks count="3" manualBreakCount="3">
    <brk id="24" max="16383" man="1"/>
    <brk id="36" max="16383" man="1"/>
    <brk id="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158"/>
  <sheetViews>
    <sheetView view="pageBreakPreview" zoomScaleNormal="100" topLeftCell="A69" workbookViewId="0">
      <selection activeCell="O8" sqref="O8"/>
    </sheetView>
  </sheetViews>
  <sheetFormatPr defaultColWidth="9" defaultRowHeight="14.25"/>
  <cols>
    <col min="1" max="9" width="12.7" customWidth="1"/>
    <col min="10" max="14" width="8"/>
    <col min="15" max="15" width="13.7" customWidth="1"/>
  </cols>
  <sheetData>
    <row r="1" ht="18" spans="1:9">
      <c r="A1" s="3" t="s">
        <v>0</v>
      </c>
      <c r="B1" s="3"/>
      <c r="C1" s="3"/>
      <c r="D1" s="3"/>
      <c r="E1" s="3"/>
      <c r="F1" s="3"/>
      <c r="G1" s="3"/>
      <c r="H1" s="3"/>
      <c r="I1" s="52" t="s">
        <v>1</v>
      </c>
    </row>
    <row r="2" ht="15.75" spans="1:9">
      <c r="A2" s="4" t="s">
        <v>2</v>
      </c>
      <c r="B2" s="4"/>
      <c r="C2" s="4"/>
      <c r="D2" s="4"/>
      <c r="E2" s="4"/>
      <c r="F2" s="4"/>
      <c r="G2" s="4"/>
      <c r="H2" s="4"/>
      <c r="I2" s="4"/>
    </row>
    <row r="3" ht="15.75" customHeight="1" spans="1:9">
      <c r="A3" s="5" t="s">
        <v>330</v>
      </c>
      <c r="B3" s="5"/>
      <c r="C3" s="5"/>
      <c r="D3" s="5"/>
      <c r="E3" s="5"/>
      <c r="F3" s="5"/>
      <c r="G3" s="5"/>
      <c r="H3" s="5"/>
      <c r="I3" s="5"/>
    </row>
    <row r="4" s="1" customFormat="1" ht="15.75" customHeight="1" spans="1:9">
      <c r="A4" s="5" t="s">
        <v>4</v>
      </c>
      <c r="B4" s="5"/>
      <c r="C4" s="5"/>
      <c r="D4" s="5"/>
      <c r="E4" s="5"/>
      <c r="F4" s="5"/>
      <c r="G4" s="5"/>
      <c r="H4" s="5"/>
      <c r="I4" s="5"/>
    </row>
    <row r="5" s="1" customFormat="1" ht="15.75" spans="1:9">
      <c r="A5" s="5" t="s">
        <v>331</v>
      </c>
      <c r="B5" s="5"/>
      <c r="C5" s="5"/>
      <c r="D5" s="5"/>
      <c r="E5" s="5"/>
      <c r="F5" s="5"/>
      <c r="G5" s="5"/>
      <c r="H5" s="5"/>
      <c r="I5" s="5"/>
    </row>
    <row r="6" s="1" customFormat="1" ht="15.75" spans="1:9">
      <c r="A6" s="5" t="s">
        <v>138</v>
      </c>
      <c r="B6" s="5"/>
      <c r="C6" s="5"/>
      <c r="D6" s="5"/>
      <c r="E6" s="5"/>
      <c r="F6" s="5"/>
      <c r="G6" s="5"/>
      <c r="H6" s="5"/>
      <c r="I6" s="5"/>
    </row>
    <row r="7" s="1" customFormat="1"/>
    <row r="8" ht="15.75" customHeight="1" spans="1:9">
      <c r="A8" s="6" t="s">
        <v>7</v>
      </c>
      <c r="B8" s="6"/>
      <c r="C8" s="6"/>
      <c r="D8" s="6"/>
      <c r="E8" s="7"/>
      <c r="G8" s="8" t="s">
        <v>8</v>
      </c>
      <c r="H8" s="8"/>
      <c r="I8" s="8"/>
    </row>
    <row r="9" ht="47.25" spans="1:9">
      <c r="A9" s="9" t="s">
        <v>9</v>
      </c>
      <c r="B9" s="10" t="s">
        <v>10</v>
      </c>
      <c r="C9" s="9" t="s">
        <v>11</v>
      </c>
      <c r="D9" s="10" t="s">
        <v>12</v>
      </c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</row>
    <row r="10" ht="15.75" spans="1:9">
      <c r="A10" s="9" t="s">
        <v>18</v>
      </c>
      <c r="B10" s="10" t="s">
        <v>19</v>
      </c>
      <c r="C10" s="9" t="s">
        <v>20</v>
      </c>
      <c r="D10" s="11" t="s">
        <v>21</v>
      </c>
      <c r="E10" s="11" t="s">
        <v>22</v>
      </c>
      <c r="F10" s="11" t="s">
        <v>23</v>
      </c>
      <c r="G10" s="11" t="s">
        <v>24</v>
      </c>
      <c r="H10" s="11" t="s">
        <v>25</v>
      </c>
      <c r="I10" s="11" t="s">
        <v>26</v>
      </c>
    </row>
    <row r="11" ht="15.75" spans="1:9">
      <c r="A11" s="9">
        <v>1</v>
      </c>
      <c r="B11" s="9">
        <v>1981</v>
      </c>
      <c r="C11" s="12" t="s">
        <v>68</v>
      </c>
      <c r="D11" s="13" t="s">
        <v>332</v>
      </c>
      <c r="E11" s="14">
        <v>153</v>
      </c>
      <c r="F11" s="15" t="s">
        <v>29</v>
      </c>
      <c r="G11" s="16">
        <f>E11*(65.19*365)/POWER(10,9)</f>
        <v>0.00364053555</v>
      </c>
      <c r="H11" s="15" t="s">
        <v>29</v>
      </c>
      <c r="I11" s="16">
        <f>G11</f>
        <v>0.00364053555</v>
      </c>
    </row>
    <row r="12" ht="15.75" spans="1:9">
      <c r="A12" s="9"/>
      <c r="B12" s="9"/>
      <c r="C12" s="12" t="s">
        <v>27</v>
      </c>
      <c r="D12" s="13" t="s">
        <v>315</v>
      </c>
      <c r="E12" s="14">
        <v>83013</v>
      </c>
      <c r="F12" s="15" t="s">
        <v>29</v>
      </c>
      <c r="G12" s="16">
        <f t="shared" ref="G12:G18" si="0">E12*(65.19*365)/POWER(10,9)</f>
        <v>1.97524037655</v>
      </c>
      <c r="H12" s="15" t="s">
        <v>29</v>
      </c>
      <c r="I12" s="16">
        <f t="shared" ref="I12:I18" si="1">G12</f>
        <v>1.97524037655</v>
      </c>
    </row>
    <row r="13" ht="15.75" spans="1:9">
      <c r="A13" s="9"/>
      <c r="B13" s="9"/>
      <c r="C13" s="17"/>
      <c r="D13" s="13" t="s">
        <v>316</v>
      </c>
      <c r="E13" s="14">
        <v>1687</v>
      </c>
      <c r="F13" s="15" t="s">
        <v>29</v>
      </c>
      <c r="G13" s="16">
        <f t="shared" si="0"/>
        <v>0.04014106845</v>
      </c>
      <c r="H13" s="15" t="s">
        <v>29</v>
      </c>
      <c r="I13" s="16">
        <f t="shared" si="1"/>
        <v>0.04014106845</v>
      </c>
    </row>
    <row r="14" ht="15.75" spans="1:9">
      <c r="A14" s="9"/>
      <c r="B14" s="9"/>
      <c r="C14" s="17"/>
      <c r="D14" s="13" t="s">
        <v>333</v>
      </c>
      <c r="E14" s="14">
        <v>24065</v>
      </c>
      <c r="F14" s="15" t="s">
        <v>29</v>
      </c>
      <c r="G14" s="16">
        <f t="shared" si="0"/>
        <v>0.57261103275</v>
      </c>
      <c r="H14" s="15" t="s">
        <v>29</v>
      </c>
      <c r="I14" s="16">
        <f t="shared" si="1"/>
        <v>0.57261103275</v>
      </c>
    </row>
    <row r="15" ht="15.75" spans="1:9">
      <c r="A15" s="9">
        <v>2</v>
      </c>
      <c r="B15" s="9">
        <v>1991</v>
      </c>
      <c r="C15" s="12" t="s">
        <v>68</v>
      </c>
      <c r="D15" s="13" t="s">
        <v>332</v>
      </c>
      <c r="E15" s="14">
        <v>197</v>
      </c>
      <c r="F15" s="15" t="s">
        <v>29</v>
      </c>
      <c r="G15" s="16">
        <f t="shared" si="0"/>
        <v>0.00468748695</v>
      </c>
      <c r="H15" s="15" t="s">
        <v>29</v>
      </c>
      <c r="I15" s="16">
        <f t="shared" si="1"/>
        <v>0.00468748695</v>
      </c>
    </row>
    <row r="16" ht="15.75" spans="1:9">
      <c r="A16" s="9"/>
      <c r="B16" s="9"/>
      <c r="C16" s="12" t="s">
        <v>27</v>
      </c>
      <c r="D16" s="13" t="s">
        <v>315</v>
      </c>
      <c r="E16" s="18">
        <v>100658</v>
      </c>
      <c r="F16" s="15" t="s">
        <v>29</v>
      </c>
      <c r="G16" s="16">
        <f t="shared" si="0"/>
        <v>2.3950916823</v>
      </c>
      <c r="H16" s="15" t="s">
        <v>29</v>
      </c>
      <c r="I16" s="16">
        <f t="shared" si="1"/>
        <v>2.3950916823</v>
      </c>
    </row>
    <row r="17" ht="15.75" spans="1:9">
      <c r="A17" s="9"/>
      <c r="B17" s="9"/>
      <c r="C17" s="17"/>
      <c r="D17" s="13" t="s">
        <v>316</v>
      </c>
      <c r="E17" s="14">
        <v>2046</v>
      </c>
      <c r="F17" s="15" t="s">
        <v>29</v>
      </c>
      <c r="G17" s="16">
        <f t="shared" si="0"/>
        <v>0.0486832401</v>
      </c>
      <c r="H17" s="15" t="s">
        <v>29</v>
      </c>
      <c r="I17" s="16">
        <f t="shared" si="1"/>
        <v>0.0486832401</v>
      </c>
    </row>
    <row r="18" ht="15.75" spans="1:9">
      <c r="A18" s="9"/>
      <c r="B18" s="9"/>
      <c r="C18" s="17"/>
      <c r="D18" s="13" t="s">
        <v>333</v>
      </c>
      <c r="E18" s="14">
        <v>29180</v>
      </c>
      <c r="F18" s="15" t="s">
        <v>29</v>
      </c>
      <c r="G18" s="16">
        <f t="shared" si="0"/>
        <v>0.694319133</v>
      </c>
      <c r="H18" s="15" t="s">
        <v>29</v>
      </c>
      <c r="I18" s="16">
        <f t="shared" si="1"/>
        <v>0.694319133</v>
      </c>
    </row>
    <row r="19" ht="15.75" spans="1:11">
      <c r="A19" s="9">
        <v>3</v>
      </c>
      <c r="B19" s="12">
        <v>2001</v>
      </c>
      <c r="C19" s="12" t="s">
        <v>68</v>
      </c>
      <c r="D19" s="13" t="s">
        <v>332</v>
      </c>
      <c r="E19" s="14">
        <v>240</v>
      </c>
      <c r="F19" s="19">
        <v>354</v>
      </c>
      <c r="G19" s="16">
        <f t="shared" ref="G19:G30" si="2">E19*(65.19*365)/POWER(10,9)</f>
        <v>0.005710644</v>
      </c>
      <c r="H19" s="20">
        <v>0.00713335902624263</v>
      </c>
      <c r="I19" s="16">
        <f t="shared" ref="I19:I30" si="3">G19+H19</f>
        <v>0.0128440030262426</v>
      </c>
      <c r="K19" s="53"/>
    </row>
    <row r="20" ht="15.75" spans="1:11">
      <c r="A20" s="9"/>
      <c r="B20" s="17"/>
      <c r="C20" s="12" t="s">
        <v>27</v>
      </c>
      <c r="D20" s="13" t="s">
        <v>333</v>
      </c>
      <c r="E20" s="14">
        <v>35304</v>
      </c>
      <c r="F20" s="19">
        <v>112826</v>
      </c>
      <c r="G20" s="16">
        <f t="shared" si="2"/>
        <v>0.8400357324</v>
      </c>
      <c r="H20" s="20">
        <v>2.52218828668999</v>
      </c>
      <c r="I20" s="16">
        <f t="shared" si="3"/>
        <v>3.36222401908999</v>
      </c>
      <c r="K20" s="53"/>
    </row>
    <row r="21" ht="15.75" spans="1:11">
      <c r="A21" s="9"/>
      <c r="B21" s="17"/>
      <c r="C21" s="17"/>
      <c r="D21" s="13" t="s">
        <v>316</v>
      </c>
      <c r="E21" s="14">
        <v>2475</v>
      </c>
      <c r="F21" s="19">
        <v>1242</v>
      </c>
      <c r="G21" s="16">
        <f t="shared" si="2"/>
        <v>0.05889101625</v>
      </c>
      <c r="H21" s="20">
        <v>0.0257199820315878</v>
      </c>
      <c r="I21" s="16">
        <f t="shared" si="3"/>
        <v>0.0846109982815878</v>
      </c>
      <c r="K21" s="53"/>
    </row>
    <row r="22" ht="15.75" spans="1:11">
      <c r="A22" s="9"/>
      <c r="B22" s="21"/>
      <c r="C22" s="21"/>
      <c r="D22" s="13" t="s">
        <v>315</v>
      </c>
      <c r="E22" s="14">
        <v>121780</v>
      </c>
      <c r="F22" s="19">
        <v>46045</v>
      </c>
      <c r="G22" s="16">
        <f t="shared" si="2"/>
        <v>2.897675943</v>
      </c>
      <c r="H22" s="20">
        <v>1.09025577490948</v>
      </c>
      <c r="I22" s="16">
        <f t="shared" si="3"/>
        <v>3.98793171790948</v>
      </c>
      <c r="K22" s="53"/>
    </row>
    <row r="23" ht="15.75" spans="1:11">
      <c r="A23" s="9">
        <v>4</v>
      </c>
      <c r="B23" s="12">
        <v>2011</v>
      </c>
      <c r="C23" s="12" t="s">
        <v>68</v>
      </c>
      <c r="D23" s="13" t="s">
        <v>332</v>
      </c>
      <c r="E23" s="14">
        <v>269</v>
      </c>
      <c r="F23" s="19">
        <v>737</v>
      </c>
      <c r="G23" s="16">
        <f t="shared" si="2"/>
        <v>0.00640068015</v>
      </c>
      <c r="H23" s="20">
        <v>0.012618339181105</v>
      </c>
      <c r="I23" s="16">
        <f t="shared" si="3"/>
        <v>0.019019019331105</v>
      </c>
      <c r="K23" s="53"/>
    </row>
    <row r="24" ht="15.75" spans="1:11">
      <c r="A24" s="9"/>
      <c r="B24" s="17"/>
      <c r="C24" s="12" t="s">
        <v>27</v>
      </c>
      <c r="D24" s="13" t="s">
        <v>333</v>
      </c>
      <c r="E24" s="14">
        <v>38596</v>
      </c>
      <c r="F24" s="19">
        <v>131866</v>
      </c>
      <c r="G24" s="16">
        <f t="shared" si="2"/>
        <v>0.9183667326</v>
      </c>
      <c r="H24" s="20">
        <v>2.43973276275</v>
      </c>
      <c r="I24" s="16">
        <f t="shared" si="3"/>
        <v>3.35809949535</v>
      </c>
      <c r="K24" s="53"/>
    </row>
    <row r="25" ht="15.75" spans="1:11">
      <c r="A25" s="9"/>
      <c r="B25" s="17"/>
      <c r="C25" s="17"/>
      <c r="D25" s="13" t="s">
        <v>316</v>
      </c>
      <c r="E25" s="14">
        <v>2706</v>
      </c>
      <c r="F25" s="19">
        <v>2695</v>
      </c>
      <c r="G25" s="16">
        <f t="shared" si="2"/>
        <v>0.0643875111</v>
      </c>
      <c r="H25" s="20">
        <v>0.04131415936853</v>
      </c>
      <c r="I25" s="16">
        <f t="shared" si="3"/>
        <v>0.10570167046853</v>
      </c>
      <c r="K25" s="53"/>
    </row>
    <row r="26" ht="15.75" spans="1:11">
      <c r="A26" s="9"/>
      <c r="B26" s="21"/>
      <c r="C26" s="21"/>
      <c r="D26" s="13" t="s">
        <v>315</v>
      </c>
      <c r="E26" s="14">
        <v>133138</v>
      </c>
      <c r="F26" s="19">
        <v>110404</v>
      </c>
      <c r="G26" s="16">
        <f t="shared" si="2"/>
        <v>3.1679321703</v>
      </c>
      <c r="H26" s="20">
        <v>2.32138719592684</v>
      </c>
      <c r="I26" s="16">
        <f t="shared" si="3"/>
        <v>5.48931936622684</v>
      </c>
      <c r="K26" s="53"/>
    </row>
    <row r="27" ht="15.75" spans="1:11">
      <c r="A27" s="9">
        <v>5</v>
      </c>
      <c r="B27" s="12">
        <v>2021</v>
      </c>
      <c r="C27" s="11" t="s">
        <v>317</v>
      </c>
      <c r="D27" s="13" t="s">
        <v>333</v>
      </c>
      <c r="E27" s="14">
        <v>42529</v>
      </c>
      <c r="F27" s="19">
        <v>171281</v>
      </c>
      <c r="G27" s="16">
        <f t="shared" si="2"/>
        <v>1.01194991115</v>
      </c>
      <c r="H27" s="20">
        <v>2.59036803071429</v>
      </c>
      <c r="I27" s="16">
        <f t="shared" si="3"/>
        <v>3.60231794186429</v>
      </c>
      <c r="K27" s="53"/>
    </row>
    <row r="28" ht="15.75" spans="1:11">
      <c r="A28" s="9"/>
      <c r="B28" s="17"/>
      <c r="C28" s="22"/>
      <c r="D28" s="13" t="s">
        <v>316</v>
      </c>
      <c r="E28" s="14">
        <v>2981</v>
      </c>
      <c r="F28" s="19">
        <v>2612</v>
      </c>
      <c r="G28" s="16">
        <f t="shared" si="2"/>
        <v>0.07093095735</v>
      </c>
      <c r="H28" s="20">
        <v>0.0562822866627714</v>
      </c>
      <c r="I28" s="16">
        <f t="shared" si="3"/>
        <v>0.127213244012771</v>
      </c>
      <c r="K28" s="53"/>
    </row>
    <row r="29" ht="15.75" spans="1:11">
      <c r="A29" s="9"/>
      <c r="B29" s="17"/>
      <c r="C29" s="23"/>
      <c r="D29" s="13" t="s">
        <v>315</v>
      </c>
      <c r="E29" s="14">
        <v>146704</v>
      </c>
      <c r="F29" s="19">
        <v>79947</v>
      </c>
      <c r="G29" s="16">
        <f t="shared" si="2"/>
        <v>3.4907263224</v>
      </c>
      <c r="H29" s="20">
        <v>0.959467500003</v>
      </c>
      <c r="I29" s="16">
        <f t="shared" si="3"/>
        <v>4.450193822403</v>
      </c>
      <c r="K29" s="53"/>
    </row>
    <row r="30" ht="15.75" spans="1:11">
      <c r="A30" s="9"/>
      <c r="B30" s="21"/>
      <c r="C30" s="10" t="s">
        <v>334</v>
      </c>
      <c r="D30" s="13" t="s">
        <v>332</v>
      </c>
      <c r="E30" s="14">
        <v>301</v>
      </c>
      <c r="F30" s="19">
        <v>507</v>
      </c>
      <c r="G30" s="16">
        <f t="shared" si="2"/>
        <v>0.00716209935</v>
      </c>
      <c r="H30" s="20">
        <v>0.00790727888605</v>
      </c>
      <c r="I30" s="16">
        <f t="shared" si="3"/>
        <v>0.01506937823605</v>
      </c>
      <c r="K30" s="53"/>
    </row>
    <row r="31" ht="15.75" spans="1:11">
      <c r="A31" s="24"/>
      <c r="B31" s="24"/>
      <c r="C31" s="25"/>
      <c r="D31" s="26"/>
      <c r="E31" s="27"/>
      <c r="F31" s="28"/>
      <c r="G31" s="29"/>
      <c r="H31" s="30"/>
      <c r="I31" s="29"/>
      <c r="K31" s="53"/>
    </row>
    <row r="32" ht="18.75" spans="1:11">
      <c r="A32" s="31" t="s">
        <v>138</v>
      </c>
      <c r="B32" s="4"/>
      <c r="C32" s="4"/>
      <c r="D32" s="32"/>
      <c r="E32" s="32"/>
      <c r="F32" s="32"/>
      <c r="G32" s="32"/>
      <c r="H32" s="32"/>
      <c r="K32" s="53"/>
    </row>
    <row r="33" ht="15.75" spans="1:11">
      <c r="A33" s="4" t="s">
        <v>81</v>
      </c>
      <c r="B33" s="33"/>
      <c r="C33" s="33"/>
      <c r="D33" s="33"/>
      <c r="E33" s="34"/>
      <c r="F33" s="34"/>
      <c r="G33" s="8" t="s">
        <v>8</v>
      </c>
      <c r="H33" s="8"/>
      <c r="I33" s="8"/>
      <c r="K33" s="53"/>
    </row>
    <row r="34" ht="78.75" spans="1:11">
      <c r="A34" s="35" t="s">
        <v>103</v>
      </c>
      <c r="B34" s="35" t="s">
        <v>10</v>
      </c>
      <c r="C34" s="35" t="s">
        <v>11</v>
      </c>
      <c r="D34" s="35" t="s">
        <v>324</v>
      </c>
      <c r="E34" s="35" t="s">
        <v>13</v>
      </c>
      <c r="F34" s="35" t="s">
        <v>84</v>
      </c>
      <c r="G34" s="35" t="s">
        <v>15</v>
      </c>
      <c r="H34" s="35" t="s">
        <v>16</v>
      </c>
      <c r="I34" s="10" t="s">
        <v>17</v>
      </c>
      <c r="K34" s="53"/>
    </row>
    <row r="35" s="1" customFormat="1" ht="33" customHeight="1" spans="1:11">
      <c r="A35" s="36" t="s">
        <v>18</v>
      </c>
      <c r="B35" s="37" t="s">
        <v>19</v>
      </c>
      <c r="C35" s="36" t="s">
        <v>20</v>
      </c>
      <c r="D35" s="37" t="s">
        <v>21</v>
      </c>
      <c r="E35" s="37" t="s">
        <v>22</v>
      </c>
      <c r="F35" s="37" t="s">
        <v>23</v>
      </c>
      <c r="G35" s="37" t="s">
        <v>24</v>
      </c>
      <c r="H35" s="37" t="s">
        <v>25</v>
      </c>
      <c r="I35" s="37" t="s">
        <v>26</v>
      </c>
      <c r="K35" s="54"/>
    </row>
    <row r="36" ht="155.4" customHeight="1" spans="1:9">
      <c r="A36" s="38" t="s">
        <v>143</v>
      </c>
      <c r="B36" s="38"/>
      <c r="C36" s="38"/>
      <c r="D36" s="38"/>
      <c r="E36" s="38"/>
      <c r="F36" s="38"/>
      <c r="G36" s="38"/>
      <c r="H36" s="38"/>
      <c r="I36" s="38"/>
    </row>
    <row r="37" ht="15.75" spans="1:9">
      <c r="A37" s="24"/>
      <c r="B37" s="24"/>
      <c r="C37" s="25"/>
      <c r="D37" s="26"/>
      <c r="E37" s="27"/>
      <c r="F37" s="28"/>
      <c r="G37" s="29"/>
      <c r="H37" s="30"/>
      <c r="I37" s="29"/>
    </row>
    <row r="38" ht="18.75" spans="1:9">
      <c r="A38" s="39" t="s">
        <v>102</v>
      </c>
      <c r="B38" s="39"/>
      <c r="C38" s="39"/>
      <c r="D38" s="39"/>
      <c r="E38" s="39"/>
      <c r="F38" s="39"/>
      <c r="G38" s="39"/>
      <c r="H38" s="39"/>
      <c r="I38" s="39"/>
    </row>
    <row r="39" ht="15.75" spans="1:9">
      <c r="A39" s="40" t="s">
        <v>7</v>
      </c>
      <c r="B39" s="40"/>
      <c r="C39" s="40"/>
      <c r="D39" s="40"/>
      <c r="E39" s="4"/>
      <c r="F39" s="4"/>
      <c r="G39" s="8" t="s">
        <v>8</v>
      </c>
      <c r="H39" s="8"/>
      <c r="I39" s="8"/>
    </row>
    <row r="40" s="1" customFormat="1" ht="47.25" spans="1:9">
      <c r="A40" s="41" t="s">
        <v>9</v>
      </c>
      <c r="B40" s="35" t="s">
        <v>104</v>
      </c>
      <c r="C40" s="41" t="s">
        <v>11</v>
      </c>
      <c r="D40" s="41" t="s">
        <v>12</v>
      </c>
      <c r="E40" s="35" t="s">
        <v>13</v>
      </c>
      <c r="F40" s="35" t="s">
        <v>84</v>
      </c>
      <c r="G40" s="35" t="s">
        <v>15</v>
      </c>
      <c r="H40" s="35" t="s">
        <v>16</v>
      </c>
      <c r="I40" s="35" t="s">
        <v>17</v>
      </c>
    </row>
    <row r="41" s="1" customFormat="1" ht="15.75" spans="1:9">
      <c r="A41" s="41" t="s">
        <v>18</v>
      </c>
      <c r="B41" s="37" t="s">
        <v>19</v>
      </c>
      <c r="C41" s="36" t="s">
        <v>20</v>
      </c>
      <c r="D41" s="37" t="s">
        <v>21</v>
      </c>
      <c r="E41" s="37" t="s">
        <v>22</v>
      </c>
      <c r="F41" s="37" t="s">
        <v>23</v>
      </c>
      <c r="G41" s="37" t="s">
        <v>24</v>
      </c>
      <c r="H41" s="37" t="s">
        <v>25</v>
      </c>
      <c r="I41" s="37" t="s">
        <v>26</v>
      </c>
    </row>
    <row r="42" ht="15.75" spans="1:9">
      <c r="A42" s="9">
        <v>1</v>
      </c>
      <c r="B42" s="9">
        <v>2025</v>
      </c>
      <c r="C42" s="10" t="s">
        <v>317</v>
      </c>
      <c r="D42" s="13" t="s">
        <v>333</v>
      </c>
      <c r="E42" s="14">
        <v>43847</v>
      </c>
      <c r="F42" s="42">
        <v>202352</v>
      </c>
      <c r="G42" s="16">
        <f t="shared" ref="G42:G49" si="4">E42*(65.19*365)/POWER(10,9)</f>
        <v>1.04331086445</v>
      </c>
      <c r="H42" s="43">
        <v>2.67422240071429</v>
      </c>
      <c r="I42" s="16">
        <f t="shared" ref="I42:I49" si="5">G42+H42</f>
        <v>3.71753326516429</v>
      </c>
    </row>
    <row r="43" ht="15.75" spans="1:9">
      <c r="A43" s="9"/>
      <c r="B43" s="9"/>
      <c r="C43" s="10"/>
      <c r="D43" s="13" t="s">
        <v>316</v>
      </c>
      <c r="E43" s="14">
        <v>3074</v>
      </c>
      <c r="F43" s="42">
        <v>2766</v>
      </c>
      <c r="G43" s="16">
        <f t="shared" si="4"/>
        <v>0.0731438319</v>
      </c>
      <c r="H43" s="43">
        <v>0.0641591344961143</v>
      </c>
      <c r="I43" s="16">
        <f t="shared" si="5"/>
        <v>0.137302966396114</v>
      </c>
    </row>
    <row r="44" ht="15.75" spans="1:9">
      <c r="A44" s="9"/>
      <c r="B44" s="9"/>
      <c r="C44" s="10"/>
      <c r="D44" s="13" t="s">
        <v>315</v>
      </c>
      <c r="E44" s="14">
        <v>151250</v>
      </c>
      <c r="F44" s="42">
        <v>76851</v>
      </c>
      <c r="G44" s="16">
        <f t="shared" si="4"/>
        <v>3.5988954375</v>
      </c>
      <c r="H44" s="43">
        <v>0.40156290269475</v>
      </c>
      <c r="I44" s="16">
        <f t="shared" si="5"/>
        <v>4.00045834019475</v>
      </c>
    </row>
    <row r="45" ht="15.75" spans="1:9">
      <c r="A45" s="9"/>
      <c r="B45" s="9"/>
      <c r="C45" s="10" t="s">
        <v>334</v>
      </c>
      <c r="D45" s="13" t="s">
        <v>332</v>
      </c>
      <c r="E45" s="14">
        <v>311</v>
      </c>
      <c r="F45" s="42">
        <v>560</v>
      </c>
      <c r="G45" s="16">
        <f t="shared" si="4"/>
        <v>0.00740004285</v>
      </c>
      <c r="H45" s="43">
        <v>0.00783650970765</v>
      </c>
      <c r="I45" s="16">
        <f t="shared" si="5"/>
        <v>0.01523655255765</v>
      </c>
    </row>
    <row r="46" ht="15.75" spans="1:9">
      <c r="A46" s="9">
        <v>2</v>
      </c>
      <c r="B46" s="9">
        <v>2050</v>
      </c>
      <c r="C46" s="10" t="s">
        <v>317</v>
      </c>
      <c r="D46" s="13" t="s">
        <v>333</v>
      </c>
      <c r="E46" s="44">
        <v>48780</v>
      </c>
      <c r="F46" s="42">
        <v>418927</v>
      </c>
      <c r="G46" s="16">
        <f t="shared" si="4"/>
        <v>1.160688393</v>
      </c>
      <c r="H46" s="43">
        <v>3.34536875785714</v>
      </c>
      <c r="I46" s="16">
        <f t="shared" si="5"/>
        <v>4.50605715085714</v>
      </c>
    </row>
    <row r="47" ht="15.75" spans="1:9">
      <c r="A47" s="9"/>
      <c r="B47" s="9"/>
      <c r="C47" s="10"/>
      <c r="D47" s="13" t="s">
        <v>316</v>
      </c>
      <c r="E47" s="44">
        <v>3420</v>
      </c>
      <c r="F47" s="42">
        <v>4507</v>
      </c>
      <c r="G47" s="16">
        <f t="shared" si="4"/>
        <v>0.081376677</v>
      </c>
      <c r="H47" s="43">
        <v>0.118690572149886</v>
      </c>
      <c r="I47" s="16">
        <f t="shared" si="5"/>
        <v>0.200067249149886</v>
      </c>
    </row>
    <row r="48" ht="15.75" spans="1:9">
      <c r="A48" s="9"/>
      <c r="B48" s="9"/>
      <c r="C48" s="10"/>
      <c r="D48" s="13" t="s">
        <v>315</v>
      </c>
      <c r="E48" s="44">
        <v>168267</v>
      </c>
      <c r="F48" s="42">
        <v>147698</v>
      </c>
      <c r="G48" s="16">
        <f t="shared" si="4"/>
        <v>4.00380389145</v>
      </c>
      <c r="H48" s="43">
        <v>0.530576944848188</v>
      </c>
      <c r="I48" s="16">
        <f t="shared" si="5"/>
        <v>4.53438083629819</v>
      </c>
    </row>
    <row r="49" ht="15.75" spans="1:9">
      <c r="A49" s="9"/>
      <c r="B49" s="9"/>
      <c r="C49" s="10" t="s">
        <v>334</v>
      </c>
      <c r="D49" s="13" t="s">
        <v>332</v>
      </c>
      <c r="E49" s="44">
        <v>350</v>
      </c>
      <c r="F49" s="42">
        <v>907</v>
      </c>
      <c r="G49" s="16">
        <f t="shared" si="4"/>
        <v>0.0083280225</v>
      </c>
      <c r="H49" s="43">
        <v>0.00803362598665</v>
      </c>
      <c r="I49" s="16">
        <f t="shared" si="5"/>
        <v>0.01636164848665</v>
      </c>
    </row>
    <row r="50" ht="15.75" spans="1:9">
      <c r="A50" s="24"/>
      <c r="B50" s="24"/>
      <c r="C50" s="25"/>
      <c r="D50" s="26"/>
      <c r="E50" s="27"/>
      <c r="F50" s="28"/>
      <c r="G50" s="29"/>
      <c r="H50" s="30"/>
      <c r="I50" s="29"/>
    </row>
    <row r="51" ht="19.5" customHeight="1" spans="1:9">
      <c r="A51" s="6" t="s">
        <v>105</v>
      </c>
      <c r="B51" s="6"/>
      <c r="C51" s="6"/>
      <c r="D51" s="6"/>
      <c r="E51" s="6"/>
      <c r="G51" s="41" t="s">
        <v>8</v>
      </c>
      <c r="H51" s="41"/>
      <c r="I51" s="41"/>
    </row>
    <row r="52" ht="78.75" spans="1:9">
      <c r="A52" s="35" t="s">
        <v>103</v>
      </c>
      <c r="B52" s="35" t="s">
        <v>104</v>
      </c>
      <c r="C52" s="35" t="s">
        <v>11</v>
      </c>
      <c r="D52" s="35" t="s">
        <v>106</v>
      </c>
      <c r="E52" s="35" t="s">
        <v>13</v>
      </c>
      <c r="F52" s="35" t="s">
        <v>84</v>
      </c>
      <c r="G52" s="35" t="s">
        <v>15</v>
      </c>
      <c r="H52" s="35" t="s">
        <v>16</v>
      </c>
      <c r="I52" s="35" t="s">
        <v>17</v>
      </c>
    </row>
    <row r="53" ht="15.75" spans="1:9">
      <c r="A53" s="36" t="s">
        <v>18</v>
      </c>
      <c r="B53" s="37" t="s">
        <v>19</v>
      </c>
      <c r="C53" s="36" t="s">
        <v>20</v>
      </c>
      <c r="D53" s="37" t="s">
        <v>21</v>
      </c>
      <c r="E53" s="37" t="s">
        <v>22</v>
      </c>
      <c r="F53" s="37" t="s">
        <v>23</v>
      </c>
      <c r="G53" s="37" t="s">
        <v>24</v>
      </c>
      <c r="H53" s="37" t="s">
        <v>25</v>
      </c>
      <c r="I53" s="37" t="s">
        <v>26</v>
      </c>
    </row>
    <row r="54" ht="126" customHeight="1" spans="1:9">
      <c r="A54" s="38" t="s">
        <v>143</v>
      </c>
      <c r="B54" s="38"/>
      <c r="C54" s="38"/>
      <c r="D54" s="38"/>
      <c r="E54" s="38"/>
      <c r="F54" s="38"/>
      <c r="G54" s="38"/>
      <c r="H54" s="38"/>
      <c r="I54" s="38"/>
    </row>
    <row r="55" ht="15.75" spans="1:9">
      <c r="A55" s="24"/>
      <c r="B55" s="24"/>
      <c r="C55" s="25"/>
      <c r="D55" s="26"/>
      <c r="E55" s="27"/>
      <c r="F55" s="28"/>
      <c r="G55" s="29"/>
      <c r="H55" s="30"/>
      <c r="I55" s="29"/>
    </row>
    <row r="56" ht="15.75" spans="1:9">
      <c r="A56" s="24"/>
      <c r="B56" s="24"/>
      <c r="C56" s="25"/>
      <c r="D56" s="26"/>
      <c r="E56" s="27"/>
      <c r="F56" s="28"/>
      <c r="G56" s="29"/>
      <c r="H56" s="30"/>
      <c r="I56" s="29"/>
    </row>
    <row r="57" ht="15.6" customHeight="1" spans="1:9">
      <c r="A57" s="45" t="s">
        <v>108</v>
      </c>
      <c r="B57" s="7" t="s">
        <v>109</v>
      </c>
      <c r="C57" s="46"/>
      <c r="D57" s="46"/>
      <c r="E57" s="46"/>
      <c r="F57" s="46"/>
      <c r="G57" s="46"/>
      <c r="H57" s="46"/>
      <c r="I57" s="46"/>
    </row>
    <row r="58" ht="15.6" customHeight="1" spans="1:9">
      <c r="A58" s="46"/>
      <c r="B58" s="7" t="s">
        <v>110</v>
      </c>
      <c r="C58" s="47"/>
      <c r="D58" s="47"/>
      <c r="E58" s="47"/>
      <c r="F58" s="47"/>
      <c r="G58" s="47"/>
      <c r="H58" s="47"/>
      <c r="I58" s="47"/>
    </row>
    <row r="59" spans="2:2">
      <c r="B59" s="48" t="s">
        <v>111</v>
      </c>
    </row>
    <row r="60" s="2" customFormat="1" ht="15" customHeight="1" spans="2:2">
      <c r="B60" s="49" t="s">
        <v>112</v>
      </c>
    </row>
    <row r="61" s="2" customFormat="1" ht="15" customHeight="1" spans="2:2">
      <c r="B61" s="50" t="s">
        <v>113</v>
      </c>
    </row>
    <row r="62" s="2" customFormat="1" ht="15" customHeight="1" spans="2:2">
      <c r="B62" s="50" t="s">
        <v>114</v>
      </c>
    </row>
    <row r="63" s="2" customFormat="1" spans="2:2">
      <c r="B63" s="51"/>
    </row>
    <row r="64" s="2" customFormat="1" spans="2:2">
      <c r="B64" s="49" t="s">
        <v>115</v>
      </c>
    </row>
    <row r="65" s="2" customFormat="1" ht="16.5" customHeight="1" spans="2:2">
      <c r="B65" s="50" t="s">
        <v>116</v>
      </c>
    </row>
    <row r="66" s="2" customFormat="1" ht="16.5" customHeight="1" spans="2:2">
      <c r="B66" s="50" t="s">
        <v>117</v>
      </c>
    </row>
    <row r="67" spans="2:2">
      <c r="B67" s="55"/>
    </row>
    <row r="68" spans="2:2">
      <c r="B68" s="49" t="s">
        <v>118</v>
      </c>
    </row>
    <row r="69" spans="2:2">
      <c r="B69" s="56" t="s">
        <v>119</v>
      </c>
    </row>
    <row r="70" spans="2:2">
      <c r="B70" s="56" t="s">
        <v>120</v>
      </c>
    </row>
    <row r="71" spans="2:2">
      <c r="B71" s="56" t="s">
        <v>121</v>
      </c>
    </row>
    <row r="72" spans="2:2">
      <c r="B72" s="56" t="s">
        <v>122</v>
      </c>
    </row>
    <row r="73" spans="2:2">
      <c r="B73" s="49" t="s">
        <v>123</v>
      </c>
    </row>
    <row r="74" spans="2:2">
      <c r="B74" s="49" t="s">
        <v>124</v>
      </c>
    </row>
    <row r="75" spans="2:2">
      <c r="B75" s="56" t="s">
        <v>125</v>
      </c>
    </row>
    <row r="76" spans="2:2">
      <c r="B76" s="56" t="s">
        <v>126</v>
      </c>
    </row>
    <row r="77" spans="2:2">
      <c r="B77" s="56" t="s">
        <v>127</v>
      </c>
    </row>
    <row r="78" spans="2:2">
      <c r="B78" s="56" t="s">
        <v>128</v>
      </c>
    </row>
    <row r="79" spans="2:2">
      <c r="B79" s="56" t="s">
        <v>129</v>
      </c>
    </row>
    <row r="80" spans="2:2">
      <c r="B80" s="56"/>
    </row>
    <row r="81" spans="2:2">
      <c r="B81" s="49" t="s">
        <v>130</v>
      </c>
    </row>
    <row r="82" ht="15.75" spans="2:2">
      <c r="B82" s="57"/>
    </row>
    <row r="83" spans="2:2">
      <c r="B83" s="58" t="s">
        <v>131</v>
      </c>
    </row>
    <row r="84" spans="2:2">
      <c r="B84" s="58" t="s">
        <v>132</v>
      </c>
    </row>
    <row r="85" spans="2:2">
      <c r="B85" s="59" t="s">
        <v>133</v>
      </c>
    </row>
    <row r="86" spans="2:2">
      <c r="B86" s="60"/>
    </row>
    <row r="116" ht="19.5" customHeight="1"/>
    <row r="117" ht="19.5" customHeight="1"/>
    <row r="118" ht="19.5" customHeight="1"/>
    <row r="119" ht="19.5" customHeight="1"/>
    <row r="120" ht="19.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3" ht="15" customHeight="1"/>
    <row r="134" ht="15" customHeight="1"/>
    <row r="135" ht="15" customHeight="1"/>
    <row r="138" ht="16.5" customHeight="1"/>
    <row r="139" ht="16.5" customHeight="1"/>
    <row r="140" ht="16.5" customHeight="1"/>
    <row r="141" ht="16.5" customHeight="1"/>
    <row r="142" ht="16.5" customHeight="1"/>
    <row r="155" ht="13.95" customHeight="1"/>
    <row r="156" ht="13.95" customHeight="1"/>
    <row r="157" ht="13.95" customHeight="1"/>
    <row r="158" ht="13.95" customHeight="1"/>
  </sheetData>
  <mergeCells count="33">
    <mergeCell ref="A6:I6"/>
    <mergeCell ref="A8:E8"/>
    <mergeCell ref="G8:I8"/>
    <mergeCell ref="G33:I33"/>
    <mergeCell ref="A36:I36"/>
    <mergeCell ref="A38:I38"/>
    <mergeCell ref="G39:I39"/>
    <mergeCell ref="A51:E51"/>
    <mergeCell ref="G51:I51"/>
    <mergeCell ref="A54:I54"/>
    <mergeCell ref="B57:I57"/>
    <mergeCell ref="B58:I58"/>
    <mergeCell ref="A11:A14"/>
    <mergeCell ref="A15:A18"/>
    <mergeCell ref="A19:A22"/>
    <mergeCell ref="A23:A26"/>
    <mergeCell ref="A27:A30"/>
    <mergeCell ref="A42:A45"/>
    <mergeCell ref="A46:A49"/>
    <mergeCell ref="B11:B14"/>
    <mergeCell ref="B15:B18"/>
    <mergeCell ref="B19:B22"/>
    <mergeCell ref="B23:B26"/>
    <mergeCell ref="B27:B30"/>
    <mergeCell ref="B42:B45"/>
    <mergeCell ref="B46:B49"/>
    <mergeCell ref="C12:C14"/>
    <mergeCell ref="C16:C18"/>
    <mergeCell ref="C20:C22"/>
    <mergeCell ref="C24:C26"/>
    <mergeCell ref="C27:C29"/>
    <mergeCell ref="C42:C44"/>
    <mergeCell ref="C46:C48"/>
  </mergeCells>
  <pageMargins left="0.7" right="0.7" top="0.75" bottom="0.75" header="0.3" footer="0.3"/>
  <pageSetup paperSize="9" fitToHeight="0" orientation="landscape"/>
  <headerFooter>
    <oddFooter>&amp;C&amp;"Times New Roman,Regular"&amp;10Page &amp;P</oddFooter>
  </headerFooter>
  <rowBreaks count="3" manualBreakCount="3">
    <brk id="29" max="8" man="1"/>
    <brk id="36" max="16383" man="1"/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Upper_Mahanadi_Main_Sub_Ba</vt:lpstr>
      <vt:lpstr>Middle_Mahanadi_Main_Sub_Basin</vt:lpstr>
      <vt:lpstr>Seonath_Sub_Basin</vt:lpstr>
      <vt:lpstr>Hasdeo_Sub_Basin</vt:lpstr>
      <vt:lpstr>Mand_Sub_Basin</vt:lpstr>
      <vt:lpstr>IB_Sub_Basin</vt:lpstr>
      <vt:lpstr>Choti_Kelo_Sub_Basin</vt:lpstr>
      <vt:lpstr>Main_Kelo_Sub_Basin</vt:lpstr>
      <vt:lpstr>Pairi_Sub_Basin</vt:lpstr>
      <vt:lpstr>Jonk-Rural</vt:lpstr>
      <vt:lpstr>Ong_Sub_Basin</vt:lpstr>
      <vt:lpstr>Tel_Sub_Basin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AC2001</dc:creator>
  <cp:lastModifiedBy>Satyajeet (Project Associate)</cp:lastModifiedBy>
  <dcterms:created xsi:type="dcterms:W3CDTF">2006-09-15T07:30:00Z</dcterms:created>
  <cp:lastPrinted>2023-08-17T08:16:00Z</cp:lastPrinted>
  <dcterms:modified xsi:type="dcterms:W3CDTF">2025-06-02T08:49:36Z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F534549495124E28ACFC9650AAE970E6_12</vt:lpwstr>
  </property>
  <property fmtid="{D5CDD505-2E9C-101B-9397-08002B2CF9AE}" pid="3" name="KSOProductBuildVer">
    <vt:lpwstr>2057-12.2.0.21183</vt:lpwstr>
  </property>
</Properties>
</file>